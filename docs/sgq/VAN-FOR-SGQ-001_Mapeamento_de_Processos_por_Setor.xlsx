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ídia Paga" sheetId="2" state="visible" r:id="rId2"/>
    <sheet name="Inbound" sheetId="3" state="visible" r:id="rId3"/>
    <sheet name="Account" sheetId="4" state="visible" r:id="rId4"/>
    <sheet name="Criação" sheetId="5" state="visible" r:id="rId5"/>
    <sheet name="Direção de Arte" sheetId="6" state="visible" r:id="rId6"/>
    <sheet name="Dir. Operações" sheetId="7" state="visible" r:id="rId7"/>
    <sheet name="RH" sheetId="8" state="visible" r:id="rId8"/>
    <sheet name="Dir. Executiva" sheetId="9" state="visible" r:id="rId9"/>
    <sheet name="Social Media" sheetId="10" state="visible" r:id="rId10"/>
    <sheet name="Financeiro" sheetId="11" state="visible" r:id="rId11"/>
    <sheet name="Planej. Estrat. e Inovação" sheetId="12" state="visible" r:id="rId12"/>
    <sheet name="Etapas" sheetId="13" state="visible" r:id="rId13"/>
    <sheet name="RACI" sheetId="14" state="visible" r:id="rId14"/>
    <sheet name="KPIs" sheetId="15" state="visible" r:id="rId15"/>
    <sheet name="Riscos" sheetId="16" state="visible" r:id="rId16"/>
    <sheet name="Consolidado" sheetId="17" state="visible" r:id="rId17"/>
    <sheet name="Lista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2D5C"/>
      <sz val="14"/>
    </font>
    <font>
      <name val="Arial"/>
      <color rgb="00595959"/>
      <sz val="9"/>
    </font>
    <font>
      <name val="Arial"/>
      <b val="1"/>
      <color rgb="00FFFFFF"/>
      <sz val="9"/>
    </font>
    <font>
      <name val="Arial"/>
      <sz val="10"/>
    </font>
    <font>
      <name val="Arial"/>
      <b val="1"/>
      <color rgb="001F4E2C"/>
      <sz val="9"/>
    </font>
    <font>
      <name val="Arial"/>
      <i val="1"/>
      <color rgb="007F7F7F"/>
      <sz val="7"/>
    </font>
    <font>
      <name val="Arial"/>
      <i val="1"/>
      <color rgb="007F6000"/>
      <sz val="9"/>
    </font>
    <font>
      <name val="Arial"/>
      <b val="1"/>
      <color rgb="001F4E2C"/>
      <sz val="10"/>
    </font>
    <font>
      <name val="Arial"/>
      <b val="1"/>
      <sz val="10"/>
    </font>
    <font>
      <name val="Arial"/>
      <b val="1"/>
      <color rgb="001F2D5C"/>
      <sz val="16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8F3EC"/>
      </patternFill>
    </fill>
    <fill>
      <patternFill patternType="solid">
        <fgColor rgb="001F2D5C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9" fillId="0" borderId="0" pivotButton="0" quotePrefix="0" xfId="0"/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5" fillId="3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/>
    </xf>
    <xf numFmtId="0" fontId="9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9" fillId="6" borderId="1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96" customWidth="1" min="3" max="3"/>
  </cols>
  <sheetData>
    <row r="1">
      <c r="B1" s="1" t="inlineStr">
        <is>
          <t>Mapeamento de Processos por Setor</t>
        </is>
      </c>
    </row>
    <row r="2">
      <c r="B2" s="2" t="inlineStr">
        <is>
          <t>VAN-FOR-SGQ-001  |  Versão 1.0  |  Emissão 11/09/2026  |  CONFIDENCIAL</t>
        </is>
      </c>
    </row>
    <row r="3">
      <c r="B3" s="2" t="inlineStr">
        <is>
          <t>Sistema de Gestão da Qualidade — Vanguarda Martech | VPromo | VBOT</t>
        </is>
      </c>
    </row>
    <row r="5" ht="54" customHeight="1">
      <c r="B5" s="3" t="inlineStr">
        <is>
          <t>Para que serve</t>
        </is>
      </c>
      <c r="C5" s="4" t="inlineStr">
        <is>
          <t>Este formulário coleta, de cada setor, a matéria-prima dos Procedimentos Operacionais Padrão (POP). As colunas não são genéricas: cada uma alimenta uma seção obrigatória do POP conforme o SGQ VAN-QUAL-001. O que não for preenchido aqui não pode ser inventado depois — vira lacuna no procedimento.</t>
        </is>
      </c>
    </row>
    <row r="6" ht="32" customHeight="1">
      <c r="B6" s="3" t="inlineStr">
        <is>
          <t>O que este documento NÃO é</t>
        </is>
      </c>
      <c r="C6" s="4" t="inlineStr">
        <is>
          <t>Não é um POP. É o formulário que antecede o POP. Os POPs são redigidos a partir daqui, recebem código VAN-POP-[ÁREA]-[SEQ] e seguem para aprovação do CEO.</t>
        </is>
      </c>
    </row>
    <row r="7" ht="32" customHeight="1">
      <c r="B7" s="3" t="inlineStr">
        <is>
          <t>Quem preenche</t>
        </is>
      </c>
      <c r="C7" s="4" t="inlineStr">
        <is>
          <t>Cada setor preenche a SUA aba. O gestor da área é responsável pelo conteúdo; a Gestão da Qualidade valida.</t>
        </is>
      </c>
    </row>
    <row r="8" ht="114" customHeight="1">
      <c r="B8" s="3" t="inlineStr">
        <is>
          <t>Como preencher</t>
        </is>
      </c>
      <c r="C8" s="4" t="inlineStr">
        <is>
          <t>1) Abra a aba do seu setor.
2) A linha 8, em amarelo, é um EXEMPLO preenchido — use como referência e apague ou sobrescreva.
3) Escreva um processo por linha, a partir da linha 9.
4) Colunas com (*) no título são obrigatórias.
5) Depois volte às abas Etapas, RACI, KPIs e Riscos e detalhe cada processo que você listou.</t>
        </is>
      </c>
    </row>
    <row r="9" ht="32" customHeight="1">
      <c r="B9" s="3" t="inlineStr">
        <is>
          <t>Ordem sugerida</t>
        </is>
      </c>
      <c r="C9" s="4" t="inlineStr">
        <is>
          <t>Aba do setor → Etapas → RACI → KPIs → Riscos. Comece pelos processos de prioridade Alta: não é preciso mapear tudo de uma vez.</t>
        </is>
      </c>
    </row>
    <row r="10" ht="41" customHeight="1">
      <c r="B10" s="3" t="inlineStr">
        <is>
          <t>Como os códigos funcionam</t>
        </is>
      </c>
      <c r="C10" s="4" t="inlineStr">
        <is>
          <t>O código do processo tem o formato PREFIXO.NN — por exemplo MID.01 para o primeiro processo de Mídia Paga. O prefixo de cada setor está no topo da respectiva aba. Esse código é a chave que liga a linha do processo às abas de Etapas, RACI, KPIs e Riscos: escreva-o igual nas quatro.</t>
        </is>
      </c>
    </row>
    <row r="11" ht="32" customHeight="1">
      <c r="B11" s="3" t="inlineStr">
        <is>
          <t>Mínimos exigidos pelo SGQ</t>
        </is>
      </c>
      <c r="C11" s="4" t="inlineStr">
        <is>
          <t>Por processo: no mínimo 3 etapas, 5 indicadores e 5 riscos. A aba Consolidado mostra quem já atingiu o mínimo e quem ainda não.</t>
        </is>
      </c>
    </row>
    <row r="12" ht="32" customHeight="1">
      <c r="B12" s="3" t="inlineStr">
        <is>
          <t>Regra de ouro do RACI</t>
        </is>
      </c>
      <c r="C12" s="4" t="inlineStr">
        <is>
          <t>Toda atividade que envolve pagamento ou compromisso financeiro tem o CEO como Aprovador (A). Não há exceção.</t>
        </is>
      </c>
    </row>
    <row r="13" ht="32" customHeight="1">
      <c r="B13" s="3" t="inlineStr">
        <is>
          <t>Escala de risco</t>
        </is>
      </c>
      <c r="C13" s="4" t="inlineStr">
        <is>
          <t>Probabilidade e Impacto vão de 1 a 3. O Nível de Risco (NR) é o produto dos dois e é calculado automaticamente: NR ≥ 6 exige ação imediata, 4 a 5 pede monitoramento, até 3 é aceitável.</t>
        </is>
      </c>
    </row>
    <row r="14" ht="32" customHeight="1">
      <c r="B14" s="3" t="inlineStr">
        <is>
          <t>Cores da planilha</t>
        </is>
      </c>
      <c r="C14" s="4" t="inlineStr">
        <is>
          <t>Amarelo = linha de exemplo, para apagar. Verde = célula calculada, não digite. Cinza alternado = apenas leitura de linha. Azul escuro = cabeçalho.</t>
        </is>
      </c>
    </row>
    <row r="15" ht="32" customHeight="1">
      <c r="B15" s="3" t="inlineStr">
        <is>
          <t>Prazo e devolução</t>
        </is>
      </c>
      <c r="C15" s="4" t="inlineStr">
        <is>
          <t>Devolver à Gestão da Qualidade. A planilha volta inteira, com todas as abas — não separe.</t>
        </is>
      </c>
    </row>
    <row r="16" ht="80" customHeight="1">
      <c r="B16" s="3" t="inlineStr">
        <is>
          <t>Dois códigos de área pendentes</t>
        </is>
      </c>
      <c r="C16" s="4" t="inlineStr">
        <is>
          <t>A tabela oficial do SGQ tem sete áreas: FIN, MKT, COM, OPS, RH, TEC e VBOT. Diretoria Executiva e Planejamento/Estratégia e Inovação não se encaixam em nenhuma delas; as abas trazem GOV e EST como PROPOSTA, marcados com asterisco, aguardando decisão da Qualidade. Observe também que cinco setores (Mídia Paga, Inbound, Criação, Direção de Arte e Social Media) caem todos em MKT — por isso o código do processo usa prefixo próprio por setor, senão MKT sozinho não diria de quem é o processo.</t>
        </is>
      </c>
    </row>
    <row r="18">
      <c r="B18" s="5" t="inlineStr">
        <is>
          <t>Referenciais</t>
        </is>
      </c>
      <c r="C18" s="6" t="inlineStr">
        <is>
          <t>ISO 9001:2015 · ABPMP CBOK v3.0 · PMBOK 7ª Ed. · COSO ERM · Lean · Planejamento Estratégico Vanguarda 2030 · SGQ Vanguarda VAN-QUAL-001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32" customWidth="1" min="5" max="5"/>
    <col width="22" customWidth="1" min="6" max="6"/>
    <col width="24" customWidth="1" min="7" max="7"/>
    <col width="24" customWidth="1" min="8" max="8"/>
    <col width="22" customWidth="1" min="9" max="9"/>
    <col width="28" customWidth="1" min="10" max="10"/>
    <col width="30" customWidth="1" min="11" max="11"/>
    <col width="30" customWidth="1" min="12" max="12"/>
    <col width="28" customWidth="1" min="13" max="13"/>
    <col width="26" customWidth="1" min="14" max="14"/>
    <col width="26" customWidth="1" min="15" max="15"/>
    <col width="28" customWidth="1" min="16" max="16"/>
    <col width="26" customWidth="1" min="17" max="17"/>
    <col width="20" customWidth="1" min="18" max="18"/>
    <col width="16" customWidth="1" min="19" max="19"/>
    <col width="30" customWidth="1" min="20" max="20"/>
    <col width="24" customWidth="1" min="21" max="21"/>
    <col width="16" customWidth="1" min="22" max="22"/>
    <col width="20" customWidth="1" min="23" max="23"/>
    <col width="18" customWidth="1" min="24" max="24"/>
    <col width="20" customWidth="1" min="25" max="25"/>
    <col width="16" customWidth="1" min="26" max="26"/>
    <col width="16" customWidth="1" min="27" max="27"/>
  </cols>
  <sheetData>
    <row r="1">
      <c r="A1" s="7" t="inlineStr">
        <is>
          <t>Mapeamento de Processos — Mídia Paga</t>
        </is>
      </c>
    </row>
    <row r="2">
      <c r="A2" s="2" t="inlineStr">
        <is>
          <t>VAN-FOR-SGQ-001  |  Versão 1.0  |  Emissão 11/09/2026  |  SGQ Vanguarda (VAN-QUAL-001)  |  CONFIDENCIAL</t>
        </is>
      </c>
    </row>
    <row r="3">
      <c r="A3" s="2" t="inlineStr">
        <is>
          <t>Setor: Mídia Paga   |   Código de área SGQ: MKT   |   Prefixo dos processos: MID.NN</t>
        </is>
      </c>
    </row>
    <row r="5" ht="30" customHeight="1">
      <c r="A5" s="8" t="inlineStr">
        <is>
          <t>COMO PREENCHER: escreva a partir da linha 9. A linha 8, em amarelo, é EXEMPLO — apague-a ou sobrescreva-a. Colunas com (*) são obrigatórias. Células em verde são calculadas automaticamente: não digite nelas.</t>
        </is>
      </c>
    </row>
    <row r="6">
      <c r="A6" s="9" t="inlineStr">
        <is>
          <t>Cabeçalho</t>
        </is>
      </c>
      <c r="B6" s="9" t="inlineStr">
        <is>
          <t>Cabeçalho</t>
        </is>
      </c>
      <c r="C6" s="9" t="inlineStr">
        <is>
          <t>§1 Objetivo</t>
        </is>
      </c>
      <c r="D6" s="9" t="inlineStr">
        <is>
          <t>§2 Escopo</t>
        </is>
      </c>
      <c r="E6" s="9" t="inlineStr">
        <is>
          <t>§2 Escopo</t>
        </is>
      </c>
      <c r="F6" s="9" t="inlineStr">
        <is>
          <t>§2 Escopo</t>
        </is>
      </c>
      <c r="G6" s="9" t="inlineStr">
        <is>
          <t>Cabeçalho</t>
        </is>
      </c>
      <c r="H6" s="9" t="inlineStr">
        <is>
          <t>§5 RACI</t>
        </is>
      </c>
      <c r="I6" s="9" t="inlineStr">
        <is>
          <t>§5 RACI</t>
        </is>
      </c>
      <c r="J6" s="9" t="inlineStr">
        <is>
          <t>§6 SIPOC</t>
        </is>
      </c>
      <c r="K6" s="9" t="inlineStr">
        <is>
          <t>§6 SIPOC</t>
        </is>
      </c>
      <c r="L6" s="9" t="inlineStr">
        <is>
          <t>§6 SIPOC</t>
        </is>
      </c>
      <c r="M6" s="9" t="inlineStr">
        <is>
          <t>§6 SIPOC</t>
        </is>
      </c>
      <c r="N6" s="9" t="inlineStr">
        <is>
          <t>§7 Recursos</t>
        </is>
      </c>
      <c r="O6" s="9" t="inlineStr">
        <is>
          <t>§7 Recursos</t>
        </is>
      </c>
      <c r="P6" s="9" t="inlineStr">
        <is>
          <t>§8 Competências</t>
        </is>
      </c>
      <c r="Q6" s="9" t="inlineStr">
        <is>
          <t>§8 Competências</t>
        </is>
      </c>
      <c r="R6" s="9" t="inlineStr">
        <is>
          <t>§9 Processo</t>
        </is>
      </c>
      <c r="S6" s="9" t="inlineStr">
        <is>
          <t>§10 KPIs</t>
        </is>
      </c>
      <c r="T6" s="9" t="inlineStr">
        <is>
          <t>§14 Registros</t>
        </is>
      </c>
      <c r="U6" s="9" t="inlineStr">
        <is>
          <t>§14 Registros</t>
        </is>
      </c>
      <c r="V6" s="9" t="inlineStr">
        <is>
          <t>§14 Registros</t>
        </is>
      </c>
      <c r="W6" s="9" t="inlineStr">
        <is>
          <t>§5 RACI</t>
        </is>
      </c>
      <c r="X6" s="9" t="inlineStr">
        <is>
          <t>Planejamento</t>
        </is>
      </c>
      <c r="Y6" s="9" t="inlineStr">
        <is>
          <t>Controle</t>
        </is>
      </c>
      <c r="Z6" s="9" t="inlineStr">
        <is>
          <t>Controle</t>
        </is>
      </c>
      <c r="AA6" s="9" t="inlineStr">
        <is>
          <t>Controle</t>
        </is>
      </c>
    </row>
    <row r="7" ht="42" customHeight="1">
      <c r="A7" s="10" t="inlineStr">
        <is>
          <t>Código do Processo *</t>
        </is>
      </c>
      <c r="B7" s="10" t="inlineStr">
        <is>
          <t>Nome do Processo *</t>
        </is>
      </c>
      <c r="C7" s="10" t="inlineStr">
        <is>
          <t>Objetivo (1 a 2 frases) *</t>
        </is>
      </c>
      <c r="D7" s="10" t="inlineStr">
        <is>
          <t>Escopo — o que o processo cobre *</t>
        </is>
      </c>
      <c r="E7" s="10" t="inlineStr">
        <is>
          <t>NÃO está no escopo *</t>
        </is>
      </c>
      <c r="F7" s="10" t="inlineStr">
        <is>
          <t>Entidades aplicáveis *</t>
        </is>
      </c>
      <c r="G7" s="10" t="inlineStr">
        <is>
          <t>Gestor do Processo (cargo) *</t>
        </is>
      </c>
      <c r="H7" s="10" t="inlineStr">
        <is>
          <t>Executor principal (cargo) *</t>
        </is>
      </c>
      <c r="I7" s="10" t="inlineStr">
        <is>
          <t>Aprovador (cargo) *</t>
        </is>
      </c>
      <c r="J7" s="10" t="inlineStr">
        <is>
          <t>Fornecedores — de quem recebe *</t>
        </is>
      </c>
      <c r="K7" s="10" t="inlineStr">
        <is>
          <t>Entradas — o que recebe *</t>
        </is>
      </c>
      <c r="L7" s="10" t="inlineStr">
        <is>
          <t>Saídas — o que entrega *</t>
        </is>
      </c>
      <c r="M7" s="10" t="inlineStr">
        <is>
          <t>Clientes — quem recebe a saída *</t>
        </is>
      </c>
      <c r="N7" s="10" t="inlineStr">
        <is>
          <t>Sistemas e ferramentas *</t>
        </is>
      </c>
      <c r="O7" s="10" t="inlineStr">
        <is>
          <t>Documentos de referência</t>
        </is>
      </c>
      <c r="P7" s="10" t="inlineStr">
        <is>
          <t>Competências necessárias</t>
        </is>
      </c>
      <c r="Q7" s="10" t="inlineStr">
        <is>
          <t>Treinamentos obrigatórios</t>
        </is>
      </c>
      <c r="R7" s="10" t="inlineStr">
        <is>
          <t>Frequência de execução *</t>
        </is>
      </c>
      <c r="S7" s="10" t="inlineStr">
        <is>
          <t>Volume médio mensal</t>
        </is>
      </c>
      <c r="T7" s="10" t="inlineStr">
        <is>
          <t>Registros e evidências gerados *</t>
        </is>
      </c>
      <c r="U7" s="10" t="inlineStr">
        <is>
          <t>Local de armazenamento *</t>
        </is>
      </c>
      <c r="V7" s="10" t="inlineStr">
        <is>
          <t>Retenção</t>
        </is>
      </c>
      <c r="W7" s="10" t="inlineStr">
        <is>
          <t>Envolve pagamento ou compromisso financeiro? *</t>
        </is>
      </c>
      <c r="X7" s="10" t="inlineStr">
        <is>
          <t>Prioridade para redação do POP *</t>
        </is>
      </c>
      <c r="Y7" s="10" t="inlineStr">
        <is>
          <t>Preenchido por *</t>
        </is>
      </c>
      <c r="Z7" s="10" t="inlineStr">
        <is>
          <t>Data do preenchimento *</t>
        </is>
      </c>
      <c r="AA7" s="10" t="inlineStr">
        <is>
          <t>Status *</t>
        </is>
      </c>
    </row>
    <row r="8" ht="30" customHeight="1">
      <c r="A8" s="11" t="inlineStr">
        <is>
          <t>MID.01</t>
        </is>
      </c>
      <c r="B8" s="11" t="inlineStr">
        <is>
          <t>Veiculação de campanha de mídia paga</t>
        </is>
      </c>
      <c r="C8" s="11" t="inlineStr">
        <is>
          <t>Padronizar o planejamento, a veiculação e a conferência de campanhas de mídia paga, garantindo rastreabilidade da verba e do resultado.</t>
        </is>
      </c>
      <c r="D8" s="11" t="inlineStr">
        <is>
          <t>Do briefing aprovado até o relatório de fechamento da campanha.</t>
        </is>
      </c>
      <c r="E8" s="11" t="inlineStr">
        <is>
          <t>Negociação comercial com o cliente; emissão de nota fiscal.</t>
        </is>
      </c>
      <c r="F8" s="11" t="inlineStr">
        <is>
          <t>Vanguarda Martech</t>
        </is>
      </c>
      <c r="G8" s="11" t="inlineStr">
        <is>
          <t>Supervisor de Mídia Paga</t>
        </is>
      </c>
      <c r="H8" s="11" t="inlineStr">
        <is>
          <t>Analista de Mídia Paga</t>
        </is>
      </c>
      <c r="I8" s="11" t="inlineStr">
        <is>
          <t>Diretoria de Operações</t>
        </is>
      </c>
      <c r="J8" s="11" t="inlineStr">
        <is>
          <t>Account; Planejamento</t>
        </is>
      </c>
      <c r="K8" s="11" t="inlineStr">
        <is>
          <t>Briefing aprovado; verba liberada; peças aprovadas</t>
        </is>
      </c>
      <c r="L8" s="11" t="inlineStr">
        <is>
          <t>Campanha veiculada; relatório de performance</t>
        </is>
      </c>
      <c r="M8" s="11" t="inlineStr">
        <is>
          <t>Account; Cliente</t>
        </is>
      </c>
      <c r="N8" s="11" t="inlineStr">
        <is>
          <t>Google Ads; Meta Ads; Nekt; Power BI</t>
        </is>
      </c>
      <c r="O8" s="11" t="inlineStr">
        <is>
          <t>VAN-POP-FIN-004 (Controle de Verbas de Impulsionamento)</t>
        </is>
      </c>
      <c r="P8" s="11" t="inlineStr">
        <is>
          <t>Gestão de campanhas; leitura de métricas; Excel intermediário</t>
        </is>
      </c>
      <c r="Q8" s="11" t="inlineStr">
        <is>
          <t>Google Ads Certification; LGPD</t>
        </is>
      </c>
      <c r="R8" s="11" t="inlineStr">
        <is>
          <t>Diária</t>
        </is>
      </c>
      <c r="S8" s="11" t="n">
        <v>45</v>
      </c>
      <c r="T8" s="11" t="inlineStr">
        <is>
          <t>Print de veiculação; relatório mensal; PI assinado</t>
        </is>
      </c>
      <c r="U8" s="11" t="inlineStr">
        <is>
          <t>Google Drive — SGQ/Mídia</t>
        </is>
      </c>
      <c r="V8" s="11" t="inlineStr">
        <is>
          <t>5 anos</t>
        </is>
      </c>
      <c r="W8" s="11" t="inlineStr">
        <is>
          <t>Sim</t>
        </is>
      </c>
      <c r="X8" s="11" t="inlineStr">
        <is>
          <t>Alta</t>
        </is>
      </c>
      <c r="Y8" s="11" t="inlineStr">
        <is>
          <t>(quem preencheu)</t>
        </is>
      </c>
      <c r="Z8" s="11" t="inlineStr">
        <is>
          <t>11/09/2026</t>
        </is>
      </c>
      <c r="AA8" s="11" t="inlineStr">
        <is>
          <t>Não iniciado</t>
        </is>
      </c>
    </row>
    <row r="9" ht="30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3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30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30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30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30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30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30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30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30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30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30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30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</row>
    <row r="34" ht="3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30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</row>
    <row r="36" ht="3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30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</row>
    <row r="38" ht="3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30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</row>
    <row r="40" ht="3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30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</row>
    <row r="42" ht="3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30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</row>
    <row r="44" ht="3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30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</row>
    <row r="46" ht="3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30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</row>
    <row r="48" ht="3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30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</row>
    <row r="50" ht="3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30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</row>
    <row r="52" ht="3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30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</row>
    <row r="54" ht="3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30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</row>
    <row r="56" ht="3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30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</row>
    <row r="58" ht="3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30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</row>
    <row r="60" ht="3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30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</row>
    <row r="62" ht="3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30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</row>
    <row r="64" ht="3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30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</row>
    <row r="66" ht="3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30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</row>
  </sheetData>
  <mergeCells count="4">
    <mergeCell ref="A3:L3"/>
    <mergeCell ref="A2:L2"/>
    <mergeCell ref="A1:L1"/>
    <mergeCell ref="A5:L5"/>
  </mergeCells>
  <dataValidations count="6">
    <dataValidation sqref="F8:F67" showDropDown="0" showInputMessage="0" showErrorMessage="0" allowBlank="1" type="list">
      <formula1>=Listas!$A$5:$A$9</formula1>
    </dataValidation>
    <dataValidation sqref="R8:R67" showDropDown="0" showInputMessage="0" showErrorMessage="0" allowBlank="1" type="list">
      <formula1>=Listas!$B$5:$B$12</formula1>
    </dataValidation>
    <dataValidation sqref="V8:V67" showDropDown="0" showInputMessage="0" showErrorMessage="0" allowBlank="1" type="list">
      <formula1>=Listas!$C$5:$C$8</formula1>
    </dataValidation>
    <dataValidation sqref="W8:W67" showDropDown="0" showInputMessage="0" showErrorMessage="0" allowBlank="1" type="list">
      <formula1>=Listas!$D$5:$D$6</formula1>
    </dataValidation>
    <dataValidation sqref="X8:X67" showDropDown="0" showInputMessage="0" showErrorMessage="0" allowBlank="1" type="list">
      <formula1>=Listas!$E$5:$E$7</formula1>
    </dataValidation>
    <dataValidation sqref="AA8:AA67" showDropDown="0" showInputMessage="0" showErrorMessage="0" allowBlank="1" type="list">
      <formula1>=Listas!$F$5:$F$8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32" customWidth="1" min="5" max="5"/>
    <col width="22" customWidth="1" min="6" max="6"/>
    <col width="24" customWidth="1" min="7" max="7"/>
    <col width="24" customWidth="1" min="8" max="8"/>
    <col width="22" customWidth="1" min="9" max="9"/>
    <col width="28" customWidth="1" min="10" max="10"/>
    <col width="30" customWidth="1" min="11" max="11"/>
    <col width="30" customWidth="1" min="12" max="12"/>
    <col width="28" customWidth="1" min="13" max="13"/>
    <col width="26" customWidth="1" min="14" max="14"/>
    <col width="26" customWidth="1" min="15" max="15"/>
    <col width="28" customWidth="1" min="16" max="16"/>
    <col width="26" customWidth="1" min="17" max="17"/>
    <col width="20" customWidth="1" min="18" max="18"/>
    <col width="16" customWidth="1" min="19" max="19"/>
    <col width="30" customWidth="1" min="20" max="20"/>
    <col width="24" customWidth="1" min="21" max="21"/>
    <col width="16" customWidth="1" min="22" max="22"/>
    <col width="20" customWidth="1" min="23" max="23"/>
    <col width="18" customWidth="1" min="24" max="24"/>
    <col width="20" customWidth="1" min="25" max="25"/>
    <col width="16" customWidth="1" min="26" max="26"/>
    <col width="16" customWidth="1" min="27" max="27"/>
  </cols>
  <sheetData>
    <row r="1">
      <c r="A1" s="7" t="inlineStr">
        <is>
          <t>Mapeamento de Processos — Inbound</t>
        </is>
      </c>
    </row>
    <row r="2">
      <c r="A2" s="2" t="inlineStr">
        <is>
          <t>VAN-FOR-SGQ-001  |  Versão 1.0  |  Emissão 11/09/2026  |  SGQ Vanguarda (VAN-QUAL-001)  |  CONFIDENCIAL</t>
        </is>
      </c>
    </row>
    <row r="3">
      <c r="A3" s="2" t="inlineStr">
        <is>
          <t>Setor: Inbound   |   Código de área SGQ: MKT   |   Prefixo dos processos: INB.NN</t>
        </is>
      </c>
    </row>
    <row r="5" ht="30" customHeight="1">
      <c r="A5" s="8" t="inlineStr">
        <is>
          <t>COMO PREENCHER: escreva a partir da linha 9. A linha 8, em amarelo, é EXEMPLO — apague-a ou sobrescreva-a. Colunas com (*) são obrigatórias. Células em verde são calculadas automaticamente: não digite nelas.</t>
        </is>
      </c>
    </row>
    <row r="6">
      <c r="A6" s="9" t="inlineStr">
        <is>
          <t>Cabeçalho</t>
        </is>
      </c>
      <c r="B6" s="9" t="inlineStr">
        <is>
          <t>Cabeçalho</t>
        </is>
      </c>
      <c r="C6" s="9" t="inlineStr">
        <is>
          <t>§1 Objetivo</t>
        </is>
      </c>
      <c r="D6" s="9" t="inlineStr">
        <is>
          <t>§2 Escopo</t>
        </is>
      </c>
      <c r="E6" s="9" t="inlineStr">
        <is>
          <t>§2 Escopo</t>
        </is>
      </c>
      <c r="F6" s="9" t="inlineStr">
        <is>
          <t>§2 Escopo</t>
        </is>
      </c>
      <c r="G6" s="9" t="inlineStr">
        <is>
          <t>Cabeçalho</t>
        </is>
      </c>
      <c r="H6" s="9" t="inlineStr">
        <is>
          <t>§5 RACI</t>
        </is>
      </c>
      <c r="I6" s="9" t="inlineStr">
        <is>
          <t>§5 RACI</t>
        </is>
      </c>
      <c r="J6" s="9" t="inlineStr">
        <is>
          <t>§6 SIPOC</t>
        </is>
      </c>
      <c r="K6" s="9" t="inlineStr">
        <is>
          <t>§6 SIPOC</t>
        </is>
      </c>
      <c r="L6" s="9" t="inlineStr">
        <is>
          <t>§6 SIPOC</t>
        </is>
      </c>
      <c r="M6" s="9" t="inlineStr">
        <is>
          <t>§6 SIPOC</t>
        </is>
      </c>
      <c r="N6" s="9" t="inlineStr">
        <is>
          <t>§7 Recursos</t>
        </is>
      </c>
      <c r="O6" s="9" t="inlineStr">
        <is>
          <t>§7 Recursos</t>
        </is>
      </c>
      <c r="P6" s="9" t="inlineStr">
        <is>
          <t>§8 Competências</t>
        </is>
      </c>
      <c r="Q6" s="9" t="inlineStr">
        <is>
          <t>§8 Competências</t>
        </is>
      </c>
      <c r="R6" s="9" t="inlineStr">
        <is>
          <t>§9 Processo</t>
        </is>
      </c>
      <c r="S6" s="9" t="inlineStr">
        <is>
          <t>§10 KPIs</t>
        </is>
      </c>
      <c r="T6" s="9" t="inlineStr">
        <is>
          <t>§14 Registros</t>
        </is>
      </c>
      <c r="U6" s="9" t="inlineStr">
        <is>
          <t>§14 Registros</t>
        </is>
      </c>
      <c r="V6" s="9" t="inlineStr">
        <is>
          <t>§14 Registros</t>
        </is>
      </c>
      <c r="W6" s="9" t="inlineStr">
        <is>
          <t>§5 RACI</t>
        </is>
      </c>
      <c r="X6" s="9" t="inlineStr">
        <is>
          <t>Planejamento</t>
        </is>
      </c>
      <c r="Y6" s="9" t="inlineStr">
        <is>
          <t>Controle</t>
        </is>
      </c>
      <c r="Z6" s="9" t="inlineStr">
        <is>
          <t>Controle</t>
        </is>
      </c>
      <c r="AA6" s="9" t="inlineStr">
        <is>
          <t>Controle</t>
        </is>
      </c>
    </row>
    <row r="7" ht="42" customHeight="1">
      <c r="A7" s="10" t="inlineStr">
        <is>
          <t>Código do Processo *</t>
        </is>
      </c>
      <c r="B7" s="10" t="inlineStr">
        <is>
          <t>Nome do Processo *</t>
        </is>
      </c>
      <c r="C7" s="10" t="inlineStr">
        <is>
          <t>Objetivo (1 a 2 frases) *</t>
        </is>
      </c>
      <c r="D7" s="10" t="inlineStr">
        <is>
          <t>Escopo — o que o processo cobre *</t>
        </is>
      </c>
      <c r="E7" s="10" t="inlineStr">
        <is>
          <t>NÃO está no escopo *</t>
        </is>
      </c>
      <c r="F7" s="10" t="inlineStr">
        <is>
          <t>Entidades aplicáveis *</t>
        </is>
      </c>
      <c r="G7" s="10" t="inlineStr">
        <is>
          <t>Gestor do Processo (cargo) *</t>
        </is>
      </c>
      <c r="H7" s="10" t="inlineStr">
        <is>
          <t>Executor principal (cargo) *</t>
        </is>
      </c>
      <c r="I7" s="10" t="inlineStr">
        <is>
          <t>Aprovador (cargo) *</t>
        </is>
      </c>
      <c r="J7" s="10" t="inlineStr">
        <is>
          <t>Fornecedores — de quem recebe *</t>
        </is>
      </c>
      <c r="K7" s="10" t="inlineStr">
        <is>
          <t>Entradas — o que recebe *</t>
        </is>
      </c>
      <c r="L7" s="10" t="inlineStr">
        <is>
          <t>Saídas — o que entrega *</t>
        </is>
      </c>
      <c r="M7" s="10" t="inlineStr">
        <is>
          <t>Clientes — quem recebe a saída *</t>
        </is>
      </c>
      <c r="N7" s="10" t="inlineStr">
        <is>
          <t>Sistemas e ferramentas *</t>
        </is>
      </c>
      <c r="O7" s="10" t="inlineStr">
        <is>
          <t>Documentos de referência</t>
        </is>
      </c>
      <c r="P7" s="10" t="inlineStr">
        <is>
          <t>Competências necessárias</t>
        </is>
      </c>
      <c r="Q7" s="10" t="inlineStr">
        <is>
          <t>Treinamentos obrigatórios</t>
        </is>
      </c>
      <c r="R7" s="10" t="inlineStr">
        <is>
          <t>Frequência de execução *</t>
        </is>
      </c>
      <c r="S7" s="10" t="inlineStr">
        <is>
          <t>Volume médio mensal</t>
        </is>
      </c>
      <c r="T7" s="10" t="inlineStr">
        <is>
          <t>Registros e evidências gerados *</t>
        </is>
      </c>
      <c r="U7" s="10" t="inlineStr">
        <is>
          <t>Local de armazenamento *</t>
        </is>
      </c>
      <c r="V7" s="10" t="inlineStr">
        <is>
          <t>Retenção</t>
        </is>
      </c>
      <c r="W7" s="10" t="inlineStr">
        <is>
          <t>Envolve pagamento ou compromisso financeiro? *</t>
        </is>
      </c>
      <c r="X7" s="10" t="inlineStr">
        <is>
          <t>Prioridade para redação do POP *</t>
        </is>
      </c>
      <c r="Y7" s="10" t="inlineStr">
        <is>
          <t>Preenchido por *</t>
        </is>
      </c>
      <c r="Z7" s="10" t="inlineStr">
        <is>
          <t>Data do preenchimento *</t>
        </is>
      </c>
      <c r="AA7" s="10" t="inlineStr">
        <is>
          <t>Status *</t>
        </is>
      </c>
    </row>
    <row r="8" ht="30" customHeight="1">
      <c r="A8" s="11" t="inlineStr">
        <is>
          <t>INB.01</t>
        </is>
      </c>
      <c r="B8" s="11" t="inlineStr">
        <is>
          <t>Veiculação de campanha de mídia paga</t>
        </is>
      </c>
      <c r="C8" s="11" t="inlineStr">
        <is>
          <t>Padronizar o planejamento, a veiculação e a conferência de campanhas de mídia paga, garantindo rastreabilidade da verba e do resultado.</t>
        </is>
      </c>
      <c r="D8" s="11" t="inlineStr">
        <is>
          <t>Do briefing aprovado até o relatório de fechamento da campanha.</t>
        </is>
      </c>
      <c r="E8" s="11" t="inlineStr">
        <is>
          <t>Negociação comercial com o cliente; emissão de nota fiscal.</t>
        </is>
      </c>
      <c r="F8" s="11" t="inlineStr">
        <is>
          <t>Vanguarda Martech</t>
        </is>
      </c>
      <c r="G8" s="11" t="inlineStr">
        <is>
          <t>Supervisor de Mídia Paga</t>
        </is>
      </c>
      <c r="H8" s="11" t="inlineStr">
        <is>
          <t>Analista de Mídia Paga</t>
        </is>
      </c>
      <c r="I8" s="11" t="inlineStr">
        <is>
          <t>Diretoria de Operações</t>
        </is>
      </c>
      <c r="J8" s="11" t="inlineStr">
        <is>
          <t>Account; Planejamento</t>
        </is>
      </c>
      <c r="K8" s="11" t="inlineStr">
        <is>
          <t>Briefing aprovado; verba liberada; peças aprovadas</t>
        </is>
      </c>
      <c r="L8" s="11" t="inlineStr">
        <is>
          <t>Campanha veiculada; relatório de performance</t>
        </is>
      </c>
      <c r="M8" s="11" t="inlineStr">
        <is>
          <t>Account; Cliente</t>
        </is>
      </c>
      <c r="N8" s="11" t="inlineStr">
        <is>
          <t>Google Ads; Meta Ads; Nekt; Power BI</t>
        </is>
      </c>
      <c r="O8" s="11" t="inlineStr">
        <is>
          <t>VAN-POP-FIN-004 (Controle de Verbas de Impulsionamento)</t>
        </is>
      </c>
      <c r="P8" s="11" t="inlineStr">
        <is>
          <t>Gestão de campanhas; leitura de métricas; Excel intermediário</t>
        </is>
      </c>
      <c r="Q8" s="11" t="inlineStr">
        <is>
          <t>Google Ads Certification; LGPD</t>
        </is>
      </c>
      <c r="R8" s="11" t="inlineStr">
        <is>
          <t>Diária</t>
        </is>
      </c>
      <c r="S8" s="11" t="n">
        <v>45</v>
      </c>
      <c r="T8" s="11" t="inlineStr">
        <is>
          <t>Print de veiculação; relatório mensal; PI assinado</t>
        </is>
      </c>
      <c r="U8" s="11" t="inlineStr">
        <is>
          <t>Google Drive — SGQ/Mídia</t>
        </is>
      </c>
      <c r="V8" s="11" t="inlineStr">
        <is>
          <t>5 anos</t>
        </is>
      </c>
      <c r="W8" s="11" t="inlineStr">
        <is>
          <t>Sim</t>
        </is>
      </c>
      <c r="X8" s="11" t="inlineStr">
        <is>
          <t>Alta</t>
        </is>
      </c>
      <c r="Y8" s="11" t="inlineStr">
        <is>
          <t>(quem preencheu)</t>
        </is>
      </c>
      <c r="Z8" s="11" t="inlineStr">
        <is>
          <t>11/09/2026</t>
        </is>
      </c>
      <c r="AA8" s="11" t="inlineStr">
        <is>
          <t>Não iniciado</t>
        </is>
      </c>
    </row>
    <row r="9" ht="30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3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30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30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30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30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30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30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30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30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30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30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30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</row>
    <row r="34" ht="3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30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</row>
    <row r="36" ht="3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30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</row>
    <row r="38" ht="3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30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</row>
    <row r="40" ht="3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30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</row>
    <row r="42" ht="3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30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</row>
    <row r="44" ht="3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30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</row>
    <row r="46" ht="3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30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</row>
    <row r="48" ht="3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30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</row>
    <row r="50" ht="3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30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</row>
    <row r="52" ht="3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30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</row>
    <row r="54" ht="3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30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</row>
    <row r="56" ht="3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30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</row>
    <row r="58" ht="3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30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</row>
    <row r="60" ht="3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30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</row>
    <row r="62" ht="3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30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</row>
    <row r="64" ht="3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30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</row>
    <row r="66" ht="3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30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</row>
  </sheetData>
  <mergeCells count="4">
    <mergeCell ref="A3:L3"/>
    <mergeCell ref="A2:L2"/>
    <mergeCell ref="A1:L1"/>
    <mergeCell ref="A5:L5"/>
  </mergeCells>
  <dataValidations count="6">
    <dataValidation sqref="F8:F67" showDropDown="0" showInputMessage="0" showErrorMessage="0" allowBlank="1" type="list">
      <formula1>=Listas!$A$5:$A$9</formula1>
    </dataValidation>
    <dataValidation sqref="R8:R67" showDropDown="0" showInputMessage="0" showErrorMessage="0" allowBlank="1" type="list">
      <formula1>=Listas!$B$5:$B$12</formula1>
    </dataValidation>
    <dataValidation sqref="V8:V67" showDropDown="0" showInputMessage="0" showErrorMessage="0" allowBlank="1" type="list">
      <formula1>=Listas!$C$5:$C$8</formula1>
    </dataValidation>
    <dataValidation sqref="W8:W67" showDropDown="0" showInputMessage="0" showErrorMessage="0" allowBlank="1" type="list">
      <formula1>=Listas!$D$5:$D$6</formula1>
    </dataValidation>
    <dataValidation sqref="X8:X67" showDropDown="0" showInputMessage="0" showErrorMessage="0" allowBlank="1" type="list">
      <formula1>=Listas!$E$5:$E$7</formula1>
    </dataValidation>
    <dataValidation sqref="AA8:AA67" showDropDown="0" showInputMessage="0" showErrorMessage="0" allowBlank="1" type="list">
      <formula1>=Listas!$F$5:$F$8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32" customWidth="1" min="5" max="5"/>
    <col width="22" customWidth="1" min="6" max="6"/>
    <col width="24" customWidth="1" min="7" max="7"/>
    <col width="24" customWidth="1" min="8" max="8"/>
    <col width="22" customWidth="1" min="9" max="9"/>
    <col width="28" customWidth="1" min="10" max="10"/>
    <col width="30" customWidth="1" min="11" max="11"/>
    <col width="30" customWidth="1" min="12" max="12"/>
    <col width="28" customWidth="1" min="13" max="13"/>
    <col width="26" customWidth="1" min="14" max="14"/>
    <col width="26" customWidth="1" min="15" max="15"/>
    <col width="28" customWidth="1" min="16" max="16"/>
    <col width="26" customWidth="1" min="17" max="17"/>
    <col width="20" customWidth="1" min="18" max="18"/>
    <col width="16" customWidth="1" min="19" max="19"/>
    <col width="30" customWidth="1" min="20" max="20"/>
    <col width="24" customWidth="1" min="21" max="21"/>
    <col width="16" customWidth="1" min="22" max="22"/>
    <col width="20" customWidth="1" min="23" max="23"/>
    <col width="18" customWidth="1" min="24" max="24"/>
    <col width="20" customWidth="1" min="25" max="25"/>
    <col width="16" customWidth="1" min="26" max="26"/>
    <col width="16" customWidth="1" min="27" max="27"/>
  </cols>
  <sheetData>
    <row r="1">
      <c r="A1" s="7" t="inlineStr">
        <is>
          <t>Mapeamento de Processos — Account (Atendimento)</t>
        </is>
      </c>
    </row>
    <row r="2">
      <c r="A2" s="2" t="inlineStr">
        <is>
          <t>VAN-FOR-SGQ-001  |  Versão 1.0  |  Emissão 11/09/2026  |  SGQ Vanguarda (VAN-QUAL-001)  |  CONFIDENCIAL</t>
        </is>
      </c>
    </row>
    <row r="3">
      <c r="A3" s="2" t="inlineStr">
        <is>
          <t>Setor: Account (Atendimento)   |   Código de área SGQ: COM   |   Prefixo dos processos: ACC.NN</t>
        </is>
      </c>
    </row>
    <row r="5" ht="30" customHeight="1">
      <c r="A5" s="8" t="inlineStr">
        <is>
          <t>COMO PREENCHER: escreva a partir da linha 9. A linha 8, em amarelo, é EXEMPLO — apague-a ou sobrescreva-a. Colunas com (*) são obrigatórias. Células em verde são calculadas automaticamente: não digite nelas.</t>
        </is>
      </c>
    </row>
    <row r="6">
      <c r="A6" s="9" t="inlineStr">
        <is>
          <t>Cabeçalho</t>
        </is>
      </c>
      <c r="B6" s="9" t="inlineStr">
        <is>
          <t>Cabeçalho</t>
        </is>
      </c>
      <c r="C6" s="9" t="inlineStr">
        <is>
          <t>§1 Objetivo</t>
        </is>
      </c>
      <c r="D6" s="9" t="inlineStr">
        <is>
          <t>§2 Escopo</t>
        </is>
      </c>
      <c r="E6" s="9" t="inlineStr">
        <is>
          <t>§2 Escopo</t>
        </is>
      </c>
      <c r="F6" s="9" t="inlineStr">
        <is>
          <t>§2 Escopo</t>
        </is>
      </c>
      <c r="G6" s="9" t="inlineStr">
        <is>
          <t>Cabeçalho</t>
        </is>
      </c>
      <c r="H6" s="9" t="inlineStr">
        <is>
          <t>§5 RACI</t>
        </is>
      </c>
      <c r="I6" s="9" t="inlineStr">
        <is>
          <t>§5 RACI</t>
        </is>
      </c>
      <c r="J6" s="9" t="inlineStr">
        <is>
          <t>§6 SIPOC</t>
        </is>
      </c>
      <c r="K6" s="9" t="inlineStr">
        <is>
          <t>§6 SIPOC</t>
        </is>
      </c>
      <c r="L6" s="9" t="inlineStr">
        <is>
          <t>§6 SIPOC</t>
        </is>
      </c>
      <c r="M6" s="9" t="inlineStr">
        <is>
          <t>§6 SIPOC</t>
        </is>
      </c>
      <c r="N6" s="9" t="inlineStr">
        <is>
          <t>§7 Recursos</t>
        </is>
      </c>
      <c r="O6" s="9" t="inlineStr">
        <is>
          <t>§7 Recursos</t>
        </is>
      </c>
      <c r="P6" s="9" t="inlineStr">
        <is>
          <t>§8 Competências</t>
        </is>
      </c>
      <c r="Q6" s="9" t="inlineStr">
        <is>
          <t>§8 Competências</t>
        </is>
      </c>
      <c r="R6" s="9" t="inlineStr">
        <is>
          <t>§9 Processo</t>
        </is>
      </c>
      <c r="S6" s="9" t="inlineStr">
        <is>
          <t>§10 KPIs</t>
        </is>
      </c>
      <c r="T6" s="9" t="inlineStr">
        <is>
          <t>§14 Registros</t>
        </is>
      </c>
      <c r="U6" s="9" t="inlineStr">
        <is>
          <t>§14 Registros</t>
        </is>
      </c>
      <c r="V6" s="9" t="inlineStr">
        <is>
          <t>§14 Registros</t>
        </is>
      </c>
      <c r="W6" s="9" t="inlineStr">
        <is>
          <t>§5 RACI</t>
        </is>
      </c>
      <c r="X6" s="9" t="inlineStr">
        <is>
          <t>Planejamento</t>
        </is>
      </c>
      <c r="Y6" s="9" t="inlineStr">
        <is>
          <t>Controle</t>
        </is>
      </c>
      <c r="Z6" s="9" t="inlineStr">
        <is>
          <t>Controle</t>
        </is>
      </c>
      <c r="AA6" s="9" t="inlineStr">
        <is>
          <t>Controle</t>
        </is>
      </c>
    </row>
    <row r="7" ht="42" customHeight="1">
      <c r="A7" s="10" t="inlineStr">
        <is>
          <t>Código do Processo *</t>
        </is>
      </c>
      <c r="B7" s="10" t="inlineStr">
        <is>
          <t>Nome do Processo *</t>
        </is>
      </c>
      <c r="C7" s="10" t="inlineStr">
        <is>
          <t>Objetivo (1 a 2 frases) *</t>
        </is>
      </c>
      <c r="D7" s="10" t="inlineStr">
        <is>
          <t>Escopo — o que o processo cobre *</t>
        </is>
      </c>
      <c r="E7" s="10" t="inlineStr">
        <is>
          <t>NÃO está no escopo *</t>
        </is>
      </c>
      <c r="F7" s="10" t="inlineStr">
        <is>
          <t>Entidades aplicáveis *</t>
        </is>
      </c>
      <c r="G7" s="10" t="inlineStr">
        <is>
          <t>Gestor do Processo (cargo) *</t>
        </is>
      </c>
      <c r="H7" s="10" t="inlineStr">
        <is>
          <t>Executor principal (cargo) *</t>
        </is>
      </c>
      <c r="I7" s="10" t="inlineStr">
        <is>
          <t>Aprovador (cargo) *</t>
        </is>
      </c>
      <c r="J7" s="10" t="inlineStr">
        <is>
          <t>Fornecedores — de quem recebe *</t>
        </is>
      </c>
      <c r="K7" s="10" t="inlineStr">
        <is>
          <t>Entradas — o que recebe *</t>
        </is>
      </c>
      <c r="L7" s="10" t="inlineStr">
        <is>
          <t>Saídas — o que entrega *</t>
        </is>
      </c>
      <c r="M7" s="10" t="inlineStr">
        <is>
          <t>Clientes — quem recebe a saída *</t>
        </is>
      </c>
      <c r="N7" s="10" t="inlineStr">
        <is>
          <t>Sistemas e ferramentas *</t>
        </is>
      </c>
      <c r="O7" s="10" t="inlineStr">
        <is>
          <t>Documentos de referência</t>
        </is>
      </c>
      <c r="P7" s="10" t="inlineStr">
        <is>
          <t>Competências necessárias</t>
        </is>
      </c>
      <c r="Q7" s="10" t="inlineStr">
        <is>
          <t>Treinamentos obrigatórios</t>
        </is>
      </c>
      <c r="R7" s="10" t="inlineStr">
        <is>
          <t>Frequência de execução *</t>
        </is>
      </c>
      <c r="S7" s="10" t="inlineStr">
        <is>
          <t>Volume médio mensal</t>
        </is>
      </c>
      <c r="T7" s="10" t="inlineStr">
        <is>
          <t>Registros e evidências gerados *</t>
        </is>
      </c>
      <c r="U7" s="10" t="inlineStr">
        <is>
          <t>Local de armazenamento *</t>
        </is>
      </c>
      <c r="V7" s="10" t="inlineStr">
        <is>
          <t>Retenção</t>
        </is>
      </c>
      <c r="W7" s="10" t="inlineStr">
        <is>
          <t>Envolve pagamento ou compromisso financeiro? *</t>
        </is>
      </c>
      <c r="X7" s="10" t="inlineStr">
        <is>
          <t>Prioridade para redação do POP *</t>
        </is>
      </c>
      <c r="Y7" s="10" t="inlineStr">
        <is>
          <t>Preenchido por *</t>
        </is>
      </c>
      <c r="Z7" s="10" t="inlineStr">
        <is>
          <t>Data do preenchimento *</t>
        </is>
      </c>
      <c r="AA7" s="10" t="inlineStr">
        <is>
          <t>Status *</t>
        </is>
      </c>
    </row>
    <row r="8" ht="30" customHeight="1">
      <c r="A8" s="11" t="inlineStr">
        <is>
          <t>ACC.01</t>
        </is>
      </c>
      <c r="B8" s="11" t="inlineStr">
        <is>
          <t>Veiculação de campanha de mídia paga</t>
        </is>
      </c>
      <c r="C8" s="11" t="inlineStr">
        <is>
          <t>Padronizar o planejamento, a veiculação e a conferência de campanhas de mídia paga, garantindo rastreabilidade da verba e do resultado.</t>
        </is>
      </c>
      <c r="D8" s="11" t="inlineStr">
        <is>
          <t>Do briefing aprovado até o relatório de fechamento da campanha.</t>
        </is>
      </c>
      <c r="E8" s="11" t="inlineStr">
        <is>
          <t>Negociação comercial com o cliente; emissão de nota fiscal.</t>
        </is>
      </c>
      <c r="F8" s="11" t="inlineStr">
        <is>
          <t>Vanguarda Martech</t>
        </is>
      </c>
      <c r="G8" s="11" t="inlineStr">
        <is>
          <t>Supervisor de Mídia Paga</t>
        </is>
      </c>
      <c r="H8" s="11" t="inlineStr">
        <is>
          <t>Analista de Mídia Paga</t>
        </is>
      </c>
      <c r="I8" s="11" t="inlineStr">
        <is>
          <t>Diretoria de Operações</t>
        </is>
      </c>
      <c r="J8" s="11" t="inlineStr">
        <is>
          <t>Account; Planejamento</t>
        </is>
      </c>
      <c r="K8" s="11" t="inlineStr">
        <is>
          <t>Briefing aprovado; verba liberada; peças aprovadas</t>
        </is>
      </c>
      <c r="L8" s="11" t="inlineStr">
        <is>
          <t>Campanha veiculada; relatório de performance</t>
        </is>
      </c>
      <c r="M8" s="11" t="inlineStr">
        <is>
          <t>Account; Cliente</t>
        </is>
      </c>
      <c r="N8" s="11" t="inlineStr">
        <is>
          <t>Google Ads; Meta Ads; Nekt; Power BI</t>
        </is>
      </c>
      <c r="O8" s="11" t="inlineStr">
        <is>
          <t>VAN-POP-FIN-004 (Controle de Verbas de Impulsionamento)</t>
        </is>
      </c>
      <c r="P8" s="11" t="inlineStr">
        <is>
          <t>Gestão de campanhas; leitura de métricas; Excel intermediário</t>
        </is>
      </c>
      <c r="Q8" s="11" t="inlineStr">
        <is>
          <t>Google Ads Certification; LGPD</t>
        </is>
      </c>
      <c r="R8" s="11" t="inlineStr">
        <is>
          <t>Diária</t>
        </is>
      </c>
      <c r="S8" s="11" t="n">
        <v>45</v>
      </c>
      <c r="T8" s="11" t="inlineStr">
        <is>
          <t>Print de veiculação; relatório mensal; PI assinado</t>
        </is>
      </c>
      <c r="U8" s="11" t="inlineStr">
        <is>
          <t>Google Drive — SGQ/Mídia</t>
        </is>
      </c>
      <c r="V8" s="11" t="inlineStr">
        <is>
          <t>5 anos</t>
        </is>
      </c>
      <c r="W8" s="11" t="inlineStr">
        <is>
          <t>Sim</t>
        </is>
      </c>
      <c r="X8" s="11" t="inlineStr">
        <is>
          <t>Alta</t>
        </is>
      </c>
      <c r="Y8" s="11" t="inlineStr">
        <is>
          <t>(quem preencheu)</t>
        </is>
      </c>
      <c r="Z8" s="11" t="inlineStr">
        <is>
          <t>11/09/2026</t>
        </is>
      </c>
      <c r="AA8" s="11" t="inlineStr">
        <is>
          <t>Não iniciado</t>
        </is>
      </c>
    </row>
    <row r="9" ht="30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3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30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30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30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30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30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30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30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30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30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30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30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</row>
    <row r="34" ht="3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30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</row>
    <row r="36" ht="3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30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</row>
    <row r="38" ht="3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30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</row>
    <row r="40" ht="3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30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</row>
    <row r="42" ht="3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30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</row>
    <row r="44" ht="3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30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</row>
    <row r="46" ht="3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30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</row>
    <row r="48" ht="3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30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</row>
    <row r="50" ht="3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30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</row>
    <row r="52" ht="3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30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</row>
    <row r="54" ht="3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30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</row>
    <row r="56" ht="3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30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</row>
    <row r="58" ht="3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30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</row>
    <row r="60" ht="3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30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</row>
    <row r="62" ht="3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30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</row>
    <row r="64" ht="3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30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</row>
    <row r="66" ht="3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30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</row>
  </sheetData>
  <mergeCells count="4">
    <mergeCell ref="A3:L3"/>
    <mergeCell ref="A2:L2"/>
    <mergeCell ref="A1:L1"/>
    <mergeCell ref="A5:L5"/>
  </mergeCells>
  <dataValidations count="6">
    <dataValidation sqref="F8:F67" showDropDown="0" showInputMessage="0" showErrorMessage="0" allowBlank="1" type="list">
      <formula1>=Listas!$A$5:$A$9</formula1>
    </dataValidation>
    <dataValidation sqref="R8:R67" showDropDown="0" showInputMessage="0" showErrorMessage="0" allowBlank="1" type="list">
      <formula1>=Listas!$B$5:$B$12</formula1>
    </dataValidation>
    <dataValidation sqref="V8:V67" showDropDown="0" showInputMessage="0" showErrorMessage="0" allowBlank="1" type="list">
      <formula1>=Listas!$C$5:$C$8</formula1>
    </dataValidation>
    <dataValidation sqref="W8:W67" showDropDown="0" showInputMessage="0" showErrorMessage="0" allowBlank="1" type="list">
      <formula1>=Listas!$D$5:$D$6</formula1>
    </dataValidation>
    <dataValidation sqref="X8:X67" showDropDown="0" showInputMessage="0" showErrorMessage="0" allowBlank="1" type="list">
      <formula1>=Listas!$E$5:$E$7</formula1>
    </dataValidation>
    <dataValidation sqref="AA8:AA67" showDropDown="0" showInputMessage="0" showErrorMessage="0" allowBlank="1" type="list">
      <formula1>=Listas!$F$5:$F$8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32" customWidth="1" min="5" max="5"/>
    <col width="22" customWidth="1" min="6" max="6"/>
    <col width="24" customWidth="1" min="7" max="7"/>
    <col width="24" customWidth="1" min="8" max="8"/>
    <col width="22" customWidth="1" min="9" max="9"/>
    <col width="28" customWidth="1" min="10" max="10"/>
    <col width="30" customWidth="1" min="11" max="11"/>
    <col width="30" customWidth="1" min="12" max="12"/>
    <col width="28" customWidth="1" min="13" max="13"/>
    <col width="26" customWidth="1" min="14" max="14"/>
    <col width="26" customWidth="1" min="15" max="15"/>
    <col width="28" customWidth="1" min="16" max="16"/>
    <col width="26" customWidth="1" min="17" max="17"/>
    <col width="20" customWidth="1" min="18" max="18"/>
    <col width="16" customWidth="1" min="19" max="19"/>
    <col width="30" customWidth="1" min="20" max="20"/>
    <col width="24" customWidth="1" min="21" max="21"/>
    <col width="16" customWidth="1" min="22" max="22"/>
    <col width="20" customWidth="1" min="23" max="23"/>
    <col width="18" customWidth="1" min="24" max="24"/>
    <col width="20" customWidth="1" min="25" max="25"/>
    <col width="16" customWidth="1" min="26" max="26"/>
    <col width="16" customWidth="1" min="27" max="27"/>
  </cols>
  <sheetData>
    <row r="1">
      <c r="A1" s="7" t="inlineStr">
        <is>
          <t>Mapeamento de Processos — Criação</t>
        </is>
      </c>
    </row>
    <row r="2">
      <c r="A2" s="2" t="inlineStr">
        <is>
          <t>VAN-FOR-SGQ-001  |  Versão 1.0  |  Emissão 11/09/2026  |  SGQ Vanguarda (VAN-QUAL-001)  |  CONFIDENCIAL</t>
        </is>
      </c>
    </row>
    <row r="3">
      <c r="A3" s="2" t="inlineStr">
        <is>
          <t>Setor: Criação   |   Código de área SGQ: MKT   |   Prefixo dos processos: CRI.NN</t>
        </is>
      </c>
    </row>
    <row r="5" ht="30" customHeight="1">
      <c r="A5" s="8" t="inlineStr">
        <is>
          <t>COMO PREENCHER: escreva a partir da linha 9. A linha 8, em amarelo, é EXEMPLO — apague-a ou sobrescreva-a. Colunas com (*) são obrigatórias. Células em verde são calculadas automaticamente: não digite nelas.</t>
        </is>
      </c>
    </row>
    <row r="6">
      <c r="A6" s="9" t="inlineStr">
        <is>
          <t>Cabeçalho</t>
        </is>
      </c>
      <c r="B6" s="9" t="inlineStr">
        <is>
          <t>Cabeçalho</t>
        </is>
      </c>
      <c r="C6" s="9" t="inlineStr">
        <is>
          <t>§1 Objetivo</t>
        </is>
      </c>
      <c r="D6" s="9" t="inlineStr">
        <is>
          <t>§2 Escopo</t>
        </is>
      </c>
      <c r="E6" s="9" t="inlineStr">
        <is>
          <t>§2 Escopo</t>
        </is>
      </c>
      <c r="F6" s="9" t="inlineStr">
        <is>
          <t>§2 Escopo</t>
        </is>
      </c>
      <c r="G6" s="9" t="inlineStr">
        <is>
          <t>Cabeçalho</t>
        </is>
      </c>
      <c r="H6" s="9" t="inlineStr">
        <is>
          <t>§5 RACI</t>
        </is>
      </c>
      <c r="I6" s="9" t="inlineStr">
        <is>
          <t>§5 RACI</t>
        </is>
      </c>
      <c r="J6" s="9" t="inlineStr">
        <is>
          <t>§6 SIPOC</t>
        </is>
      </c>
      <c r="K6" s="9" t="inlineStr">
        <is>
          <t>§6 SIPOC</t>
        </is>
      </c>
      <c r="L6" s="9" t="inlineStr">
        <is>
          <t>§6 SIPOC</t>
        </is>
      </c>
      <c r="M6" s="9" t="inlineStr">
        <is>
          <t>§6 SIPOC</t>
        </is>
      </c>
      <c r="N6" s="9" t="inlineStr">
        <is>
          <t>§7 Recursos</t>
        </is>
      </c>
      <c r="O6" s="9" t="inlineStr">
        <is>
          <t>§7 Recursos</t>
        </is>
      </c>
      <c r="P6" s="9" t="inlineStr">
        <is>
          <t>§8 Competências</t>
        </is>
      </c>
      <c r="Q6" s="9" t="inlineStr">
        <is>
          <t>§8 Competências</t>
        </is>
      </c>
      <c r="R6" s="9" t="inlineStr">
        <is>
          <t>§9 Processo</t>
        </is>
      </c>
      <c r="S6" s="9" t="inlineStr">
        <is>
          <t>§10 KPIs</t>
        </is>
      </c>
      <c r="T6" s="9" t="inlineStr">
        <is>
          <t>§14 Registros</t>
        </is>
      </c>
      <c r="U6" s="9" t="inlineStr">
        <is>
          <t>§14 Registros</t>
        </is>
      </c>
      <c r="V6" s="9" t="inlineStr">
        <is>
          <t>§14 Registros</t>
        </is>
      </c>
      <c r="W6" s="9" t="inlineStr">
        <is>
          <t>§5 RACI</t>
        </is>
      </c>
      <c r="X6" s="9" t="inlineStr">
        <is>
          <t>Planejamento</t>
        </is>
      </c>
      <c r="Y6" s="9" t="inlineStr">
        <is>
          <t>Controle</t>
        </is>
      </c>
      <c r="Z6" s="9" t="inlineStr">
        <is>
          <t>Controle</t>
        </is>
      </c>
      <c r="AA6" s="9" t="inlineStr">
        <is>
          <t>Controle</t>
        </is>
      </c>
    </row>
    <row r="7" ht="42" customHeight="1">
      <c r="A7" s="10" t="inlineStr">
        <is>
          <t>Código do Processo *</t>
        </is>
      </c>
      <c r="B7" s="10" t="inlineStr">
        <is>
          <t>Nome do Processo *</t>
        </is>
      </c>
      <c r="C7" s="10" t="inlineStr">
        <is>
          <t>Objetivo (1 a 2 frases) *</t>
        </is>
      </c>
      <c r="D7" s="10" t="inlineStr">
        <is>
          <t>Escopo — o que o processo cobre *</t>
        </is>
      </c>
      <c r="E7" s="10" t="inlineStr">
        <is>
          <t>NÃO está no escopo *</t>
        </is>
      </c>
      <c r="F7" s="10" t="inlineStr">
        <is>
          <t>Entidades aplicáveis *</t>
        </is>
      </c>
      <c r="G7" s="10" t="inlineStr">
        <is>
          <t>Gestor do Processo (cargo) *</t>
        </is>
      </c>
      <c r="H7" s="10" t="inlineStr">
        <is>
          <t>Executor principal (cargo) *</t>
        </is>
      </c>
      <c r="I7" s="10" t="inlineStr">
        <is>
          <t>Aprovador (cargo) *</t>
        </is>
      </c>
      <c r="J7" s="10" t="inlineStr">
        <is>
          <t>Fornecedores — de quem recebe *</t>
        </is>
      </c>
      <c r="K7" s="10" t="inlineStr">
        <is>
          <t>Entradas — o que recebe *</t>
        </is>
      </c>
      <c r="L7" s="10" t="inlineStr">
        <is>
          <t>Saídas — o que entrega *</t>
        </is>
      </c>
      <c r="M7" s="10" t="inlineStr">
        <is>
          <t>Clientes — quem recebe a saída *</t>
        </is>
      </c>
      <c r="N7" s="10" t="inlineStr">
        <is>
          <t>Sistemas e ferramentas *</t>
        </is>
      </c>
      <c r="O7" s="10" t="inlineStr">
        <is>
          <t>Documentos de referência</t>
        </is>
      </c>
      <c r="P7" s="10" t="inlineStr">
        <is>
          <t>Competências necessárias</t>
        </is>
      </c>
      <c r="Q7" s="10" t="inlineStr">
        <is>
          <t>Treinamentos obrigatórios</t>
        </is>
      </c>
      <c r="R7" s="10" t="inlineStr">
        <is>
          <t>Frequência de execução *</t>
        </is>
      </c>
      <c r="S7" s="10" t="inlineStr">
        <is>
          <t>Volume médio mensal</t>
        </is>
      </c>
      <c r="T7" s="10" t="inlineStr">
        <is>
          <t>Registros e evidências gerados *</t>
        </is>
      </c>
      <c r="U7" s="10" t="inlineStr">
        <is>
          <t>Local de armazenamento *</t>
        </is>
      </c>
      <c r="V7" s="10" t="inlineStr">
        <is>
          <t>Retenção</t>
        </is>
      </c>
      <c r="W7" s="10" t="inlineStr">
        <is>
          <t>Envolve pagamento ou compromisso financeiro? *</t>
        </is>
      </c>
      <c r="X7" s="10" t="inlineStr">
        <is>
          <t>Prioridade para redação do POP *</t>
        </is>
      </c>
      <c r="Y7" s="10" t="inlineStr">
        <is>
          <t>Preenchido por *</t>
        </is>
      </c>
      <c r="Z7" s="10" t="inlineStr">
        <is>
          <t>Data do preenchimento *</t>
        </is>
      </c>
      <c r="AA7" s="10" t="inlineStr">
        <is>
          <t>Status *</t>
        </is>
      </c>
    </row>
    <row r="8" ht="30" customHeight="1">
      <c r="A8" s="11" t="inlineStr">
        <is>
          <t>CRI.01</t>
        </is>
      </c>
      <c r="B8" s="11" t="inlineStr">
        <is>
          <t>Veiculação de campanha de mídia paga</t>
        </is>
      </c>
      <c r="C8" s="11" t="inlineStr">
        <is>
          <t>Padronizar o planejamento, a veiculação e a conferência de campanhas de mídia paga, garantindo rastreabilidade da verba e do resultado.</t>
        </is>
      </c>
      <c r="D8" s="11" t="inlineStr">
        <is>
          <t>Do briefing aprovado até o relatório de fechamento da campanha.</t>
        </is>
      </c>
      <c r="E8" s="11" t="inlineStr">
        <is>
          <t>Negociação comercial com o cliente; emissão de nota fiscal.</t>
        </is>
      </c>
      <c r="F8" s="11" t="inlineStr">
        <is>
          <t>Vanguarda Martech</t>
        </is>
      </c>
      <c r="G8" s="11" t="inlineStr">
        <is>
          <t>Supervisor de Mídia Paga</t>
        </is>
      </c>
      <c r="H8" s="11" t="inlineStr">
        <is>
          <t>Analista de Mídia Paga</t>
        </is>
      </c>
      <c r="I8" s="11" t="inlineStr">
        <is>
          <t>Diretoria de Operações</t>
        </is>
      </c>
      <c r="J8" s="11" t="inlineStr">
        <is>
          <t>Account; Planejamento</t>
        </is>
      </c>
      <c r="K8" s="11" t="inlineStr">
        <is>
          <t>Briefing aprovado; verba liberada; peças aprovadas</t>
        </is>
      </c>
      <c r="L8" s="11" t="inlineStr">
        <is>
          <t>Campanha veiculada; relatório de performance</t>
        </is>
      </c>
      <c r="M8" s="11" t="inlineStr">
        <is>
          <t>Account; Cliente</t>
        </is>
      </c>
      <c r="N8" s="11" t="inlineStr">
        <is>
          <t>Google Ads; Meta Ads; Nekt; Power BI</t>
        </is>
      </c>
      <c r="O8" s="11" t="inlineStr">
        <is>
          <t>VAN-POP-FIN-004 (Controle de Verbas de Impulsionamento)</t>
        </is>
      </c>
      <c r="P8" s="11" t="inlineStr">
        <is>
          <t>Gestão de campanhas; leitura de métricas; Excel intermediário</t>
        </is>
      </c>
      <c r="Q8" s="11" t="inlineStr">
        <is>
          <t>Google Ads Certification; LGPD</t>
        </is>
      </c>
      <c r="R8" s="11" t="inlineStr">
        <is>
          <t>Diária</t>
        </is>
      </c>
      <c r="S8" s="11" t="n">
        <v>45</v>
      </c>
      <c r="T8" s="11" t="inlineStr">
        <is>
          <t>Print de veiculação; relatório mensal; PI assinado</t>
        </is>
      </c>
      <c r="U8" s="11" t="inlineStr">
        <is>
          <t>Google Drive — SGQ/Mídia</t>
        </is>
      </c>
      <c r="V8" s="11" t="inlineStr">
        <is>
          <t>5 anos</t>
        </is>
      </c>
      <c r="W8" s="11" t="inlineStr">
        <is>
          <t>Sim</t>
        </is>
      </c>
      <c r="X8" s="11" t="inlineStr">
        <is>
          <t>Alta</t>
        </is>
      </c>
      <c r="Y8" s="11" t="inlineStr">
        <is>
          <t>(quem preencheu)</t>
        </is>
      </c>
      <c r="Z8" s="11" t="inlineStr">
        <is>
          <t>11/09/2026</t>
        </is>
      </c>
      <c r="AA8" s="11" t="inlineStr">
        <is>
          <t>Não iniciado</t>
        </is>
      </c>
    </row>
    <row r="9" ht="30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3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30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30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30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30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30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30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30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30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30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30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30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</row>
    <row r="34" ht="3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30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</row>
    <row r="36" ht="3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30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</row>
    <row r="38" ht="3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30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</row>
    <row r="40" ht="3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30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</row>
    <row r="42" ht="3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30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</row>
    <row r="44" ht="3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30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</row>
    <row r="46" ht="3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30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</row>
    <row r="48" ht="3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30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</row>
    <row r="50" ht="3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30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</row>
    <row r="52" ht="3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30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</row>
    <row r="54" ht="3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30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</row>
    <row r="56" ht="3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30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</row>
    <row r="58" ht="3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30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</row>
    <row r="60" ht="3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30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</row>
    <row r="62" ht="3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30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</row>
    <row r="64" ht="3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30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</row>
    <row r="66" ht="3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30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</row>
  </sheetData>
  <mergeCells count="4">
    <mergeCell ref="A3:L3"/>
    <mergeCell ref="A2:L2"/>
    <mergeCell ref="A1:L1"/>
    <mergeCell ref="A5:L5"/>
  </mergeCells>
  <dataValidations count="6">
    <dataValidation sqref="F8:F67" showDropDown="0" showInputMessage="0" showErrorMessage="0" allowBlank="1" type="list">
      <formula1>=Listas!$A$5:$A$9</formula1>
    </dataValidation>
    <dataValidation sqref="R8:R67" showDropDown="0" showInputMessage="0" showErrorMessage="0" allowBlank="1" type="list">
      <formula1>=Listas!$B$5:$B$12</formula1>
    </dataValidation>
    <dataValidation sqref="V8:V67" showDropDown="0" showInputMessage="0" showErrorMessage="0" allowBlank="1" type="list">
      <formula1>=Listas!$C$5:$C$8</formula1>
    </dataValidation>
    <dataValidation sqref="W8:W67" showDropDown="0" showInputMessage="0" showErrorMessage="0" allowBlank="1" type="list">
      <formula1>=Listas!$D$5:$D$6</formula1>
    </dataValidation>
    <dataValidation sqref="X8:X67" showDropDown="0" showInputMessage="0" showErrorMessage="0" allowBlank="1" type="list">
      <formula1>=Listas!$E$5:$E$7</formula1>
    </dataValidation>
    <dataValidation sqref="AA8:AA67" showDropDown="0" showInputMessage="0" showErrorMessage="0" allowBlank="1" type="list">
      <formula1>=Listas!$F$5:$F$8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32" customWidth="1" min="5" max="5"/>
    <col width="22" customWidth="1" min="6" max="6"/>
    <col width="24" customWidth="1" min="7" max="7"/>
    <col width="24" customWidth="1" min="8" max="8"/>
    <col width="22" customWidth="1" min="9" max="9"/>
    <col width="28" customWidth="1" min="10" max="10"/>
    <col width="30" customWidth="1" min="11" max="11"/>
    <col width="30" customWidth="1" min="12" max="12"/>
    <col width="28" customWidth="1" min="13" max="13"/>
    <col width="26" customWidth="1" min="14" max="14"/>
    <col width="26" customWidth="1" min="15" max="15"/>
    <col width="28" customWidth="1" min="16" max="16"/>
    <col width="26" customWidth="1" min="17" max="17"/>
    <col width="20" customWidth="1" min="18" max="18"/>
    <col width="16" customWidth="1" min="19" max="19"/>
    <col width="30" customWidth="1" min="20" max="20"/>
    <col width="24" customWidth="1" min="21" max="21"/>
    <col width="16" customWidth="1" min="22" max="22"/>
    <col width="20" customWidth="1" min="23" max="23"/>
    <col width="18" customWidth="1" min="24" max="24"/>
    <col width="20" customWidth="1" min="25" max="25"/>
    <col width="16" customWidth="1" min="26" max="26"/>
    <col width="16" customWidth="1" min="27" max="27"/>
  </cols>
  <sheetData>
    <row r="1">
      <c r="A1" s="7" t="inlineStr">
        <is>
          <t>Mapeamento de Processos — Direção de Arte</t>
        </is>
      </c>
    </row>
    <row r="2">
      <c r="A2" s="2" t="inlineStr">
        <is>
          <t>VAN-FOR-SGQ-001  |  Versão 1.0  |  Emissão 11/09/2026  |  SGQ Vanguarda (VAN-QUAL-001)  |  CONFIDENCIAL</t>
        </is>
      </c>
    </row>
    <row r="3">
      <c r="A3" s="2" t="inlineStr">
        <is>
          <t>Setor: Direção de Arte   |   Código de área SGQ: MKT   |   Prefixo dos processos: ART.NN</t>
        </is>
      </c>
    </row>
    <row r="5" ht="30" customHeight="1">
      <c r="A5" s="8" t="inlineStr">
        <is>
          <t>COMO PREENCHER: escreva a partir da linha 9. A linha 8, em amarelo, é EXEMPLO — apague-a ou sobrescreva-a. Colunas com (*) são obrigatórias. Células em verde são calculadas automaticamente: não digite nelas.</t>
        </is>
      </c>
    </row>
    <row r="6">
      <c r="A6" s="9" t="inlineStr">
        <is>
          <t>Cabeçalho</t>
        </is>
      </c>
      <c r="B6" s="9" t="inlineStr">
        <is>
          <t>Cabeçalho</t>
        </is>
      </c>
      <c r="C6" s="9" t="inlineStr">
        <is>
          <t>§1 Objetivo</t>
        </is>
      </c>
      <c r="D6" s="9" t="inlineStr">
        <is>
          <t>§2 Escopo</t>
        </is>
      </c>
      <c r="E6" s="9" t="inlineStr">
        <is>
          <t>§2 Escopo</t>
        </is>
      </c>
      <c r="F6" s="9" t="inlineStr">
        <is>
          <t>§2 Escopo</t>
        </is>
      </c>
      <c r="G6" s="9" t="inlineStr">
        <is>
          <t>Cabeçalho</t>
        </is>
      </c>
      <c r="H6" s="9" t="inlineStr">
        <is>
          <t>§5 RACI</t>
        </is>
      </c>
      <c r="I6" s="9" t="inlineStr">
        <is>
          <t>§5 RACI</t>
        </is>
      </c>
      <c r="J6" s="9" t="inlineStr">
        <is>
          <t>§6 SIPOC</t>
        </is>
      </c>
      <c r="K6" s="9" t="inlineStr">
        <is>
          <t>§6 SIPOC</t>
        </is>
      </c>
      <c r="L6" s="9" t="inlineStr">
        <is>
          <t>§6 SIPOC</t>
        </is>
      </c>
      <c r="M6" s="9" t="inlineStr">
        <is>
          <t>§6 SIPOC</t>
        </is>
      </c>
      <c r="N6" s="9" t="inlineStr">
        <is>
          <t>§7 Recursos</t>
        </is>
      </c>
      <c r="O6" s="9" t="inlineStr">
        <is>
          <t>§7 Recursos</t>
        </is>
      </c>
      <c r="P6" s="9" t="inlineStr">
        <is>
          <t>§8 Competências</t>
        </is>
      </c>
      <c r="Q6" s="9" t="inlineStr">
        <is>
          <t>§8 Competências</t>
        </is>
      </c>
      <c r="R6" s="9" t="inlineStr">
        <is>
          <t>§9 Processo</t>
        </is>
      </c>
      <c r="S6" s="9" t="inlineStr">
        <is>
          <t>§10 KPIs</t>
        </is>
      </c>
      <c r="T6" s="9" t="inlineStr">
        <is>
          <t>§14 Registros</t>
        </is>
      </c>
      <c r="U6" s="9" t="inlineStr">
        <is>
          <t>§14 Registros</t>
        </is>
      </c>
      <c r="V6" s="9" t="inlineStr">
        <is>
          <t>§14 Registros</t>
        </is>
      </c>
      <c r="W6" s="9" t="inlineStr">
        <is>
          <t>§5 RACI</t>
        </is>
      </c>
      <c r="X6" s="9" t="inlineStr">
        <is>
          <t>Planejamento</t>
        </is>
      </c>
      <c r="Y6" s="9" t="inlineStr">
        <is>
          <t>Controle</t>
        </is>
      </c>
      <c r="Z6" s="9" t="inlineStr">
        <is>
          <t>Controle</t>
        </is>
      </c>
      <c r="AA6" s="9" t="inlineStr">
        <is>
          <t>Controle</t>
        </is>
      </c>
    </row>
    <row r="7" ht="42" customHeight="1">
      <c r="A7" s="10" t="inlineStr">
        <is>
          <t>Código do Processo *</t>
        </is>
      </c>
      <c r="B7" s="10" t="inlineStr">
        <is>
          <t>Nome do Processo *</t>
        </is>
      </c>
      <c r="C7" s="10" t="inlineStr">
        <is>
          <t>Objetivo (1 a 2 frases) *</t>
        </is>
      </c>
      <c r="D7" s="10" t="inlineStr">
        <is>
          <t>Escopo — o que o processo cobre *</t>
        </is>
      </c>
      <c r="E7" s="10" t="inlineStr">
        <is>
          <t>NÃO está no escopo *</t>
        </is>
      </c>
      <c r="F7" s="10" t="inlineStr">
        <is>
          <t>Entidades aplicáveis *</t>
        </is>
      </c>
      <c r="G7" s="10" t="inlineStr">
        <is>
          <t>Gestor do Processo (cargo) *</t>
        </is>
      </c>
      <c r="H7" s="10" t="inlineStr">
        <is>
          <t>Executor principal (cargo) *</t>
        </is>
      </c>
      <c r="I7" s="10" t="inlineStr">
        <is>
          <t>Aprovador (cargo) *</t>
        </is>
      </c>
      <c r="J7" s="10" t="inlineStr">
        <is>
          <t>Fornecedores — de quem recebe *</t>
        </is>
      </c>
      <c r="K7" s="10" t="inlineStr">
        <is>
          <t>Entradas — o que recebe *</t>
        </is>
      </c>
      <c r="L7" s="10" t="inlineStr">
        <is>
          <t>Saídas — o que entrega *</t>
        </is>
      </c>
      <c r="M7" s="10" t="inlineStr">
        <is>
          <t>Clientes — quem recebe a saída *</t>
        </is>
      </c>
      <c r="N7" s="10" t="inlineStr">
        <is>
          <t>Sistemas e ferramentas *</t>
        </is>
      </c>
      <c r="O7" s="10" t="inlineStr">
        <is>
          <t>Documentos de referência</t>
        </is>
      </c>
      <c r="P7" s="10" t="inlineStr">
        <is>
          <t>Competências necessárias</t>
        </is>
      </c>
      <c r="Q7" s="10" t="inlineStr">
        <is>
          <t>Treinamentos obrigatórios</t>
        </is>
      </c>
      <c r="R7" s="10" t="inlineStr">
        <is>
          <t>Frequência de execução *</t>
        </is>
      </c>
      <c r="S7" s="10" t="inlineStr">
        <is>
          <t>Volume médio mensal</t>
        </is>
      </c>
      <c r="T7" s="10" t="inlineStr">
        <is>
          <t>Registros e evidências gerados *</t>
        </is>
      </c>
      <c r="U7" s="10" t="inlineStr">
        <is>
          <t>Local de armazenamento *</t>
        </is>
      </c>
      <c r="V7" s="10" t="inlineStr">
        <is>
          <t>Retenção</t>
        </is>
      </c>
      <c r="W7" s="10" t="inlineStr">
        <is>
          <t>Envolve pagamento ou compromisso financeiro? *</t>
        </is>
      </c>
      <c r="X7" s="10" t="inlineStr">
        <is>
          <t>Prioridade para redação do POP *</t>
        </is>
      </c>
      <c r="Y7" s="10" t="inlineStr">
        <is>
          <t>Preenchido por *</t>
        </is>
      </c>
      <c r="Z7" s="10" t="inlineStr">
        <is>
          <t>Data do preenchimento *</t>
        </is>
      </c>
      <c r="AA7" s="10" t="inlineStr">
        <is>
          <t>Status *</t>
        </is>
      </c>
    </row>
    <row r="8" ht="30" customHeight="1">
      <c r="A8" s="11" t="inlineStr">
        <is>
          <t>ART.01</t>
        </is>
      </c>
      <c r="B8" s="11" t="inlineStr">
        <is>
          <t>Veiculação de campanha de mídia paga</t>
        </is>
      </c>
      <c r="C8" s="11" t="inlineStr">
        <is>
          <t>Padronizar o planejamento, a veiculação e a conferência de campanhas de mídia paga, garantindo rastreabilidade da verba e do resultado.</t>
        </is>
      </c>
      <c r="D8" s="11" t="inlineStr">
        <is>
          <t>Do briefing aprovado até o relatório de fechamento da campanha.</t>
        </is>
      </c>
      <c r="E8" s="11" t="inlineStr">
        <is>
          <t>Negociação comercial com o cliente; emissão de nota fiscal.</t>
        </is>
      </c>
      <c r="F8" s="11" t="inlineStr">
        <is>
          <t>Vanguarda Martech</t>
        </is>
      </c>
      <c r="G8" s="11" t="inlineStr">
        <is>
          <t>Supervisor de Mídia Paga</t>
        </is>
      </c>
      <c r="H8" s="11" t="inlineStr">
        <is>
          <t>Analista de Mídia Paga</t>
        </is>
      </c>
      <c r="I8" s="11" t="inlineStr">
        <is>
          <t>Diretoria de Operações</t>
        </is>
      </c>
      <c r="J8" s="11" t="inlineStr">
        <is>
          <t>Account; Planejamento</t>
        </is>
      </c>
      <c r="K8" s="11" t="inlineStr">
        <is>
          <t>Briefing aprovado; verba liberada; peças aprovadas</t>
        </is>
      </c>
      <c r="L8" s="11" t="inlineStr">
        <is>
          <t>Campanha veiculada; relatório de performance</t>
        </is>
      </c>
      <c r="M8" s="11" t="inlineStr">
        <is>
          <t>Account; Cliente</t>
        </is>
      </c>
      <c r="N8" s="11" t="inlineStr">
        <is>
          <t>Google Ads; Meta Ads; Nekt; Power BI</t>
        </is>
      </c>
      <c r="O8" s="11" t="inlineStr">
        <is>
          <t>VAN-POP-FIN-004 (Controle de Verbas de Impulsionamento)</t>
        </is>
      </c>
      <c r="P8" s="11" t="inlineStr">
        <is>
          <t>Gestão de campanhas; leitura de métricas; Excel intermediário</t>
        </is>
      </c>
      <c r="Q8" s="11" t="inlineStr">
        <is>
          <t>Google Ads Certification; LGPD</t>
        </is>
      </c>
      <c r="R8" s="11" t="inlineStr">
        <is>
          <t>Diária</t>
        </is>
      </c>
      <c r="S8" s="11" t="n">
        <v>45</v>
      </c>
      <c r="T8" s="11" t="inlineStr">
        <is>
          <t>Print de veiculação; relatório mensal; PI assinado</t>
        </is>
      </c>
      <c r="U8" s="11" t="inlineStr">
        <is>
          <t>Google Drive — SGQ/Mídia</t>
        </is>
      </c>
      <c r="V8" s="11" t="inlineStr">
        <is>
          <t>5 anos</t>
        </is>
      </c>
      <c r="W8" s="11" t="inlineStr">
        <is>
          <t>Sim</t>
        </is>
      </c>
      <c r="X8" s="11" t="inlineStr">
        <is>
          <t>Alta</t>
        </is>
      </c>
      <c r="Y8" s="11" t="inlineStr">
        <is>
          <t>(quem preencheu)</t>
        </is>
      </c>
      <c r="Z8" s="11" t="inlineStr">
        <is>
          <t>11/09/2026</t>
        </is>
      </c>
      <c r="AA8" s="11" t="inlineStr">
        <is>
          <t>Não iniciado</t>
        </is>
      </c>
    </row>
    <row r="9" ht="30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3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30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30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30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30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30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30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30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30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30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30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30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</row>
    <row r="34" ht="3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30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</row>
    <row r="36" ht="3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30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</row>
    <row r="38" ht="3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30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</row>
    <row r="40" ht="3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30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</row>
    <row r="42" ht="3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30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</row>
    <row r="44" ht="3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30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</row>
    <row r="46" ht="3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30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</row>
    <row r="48" ht="3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30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</row>
    <row r="50" ht="3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30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</row>
    <row r="52" ht="3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30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</row>
    <row r="54" ht="3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30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</row>
    <row r="56" ht="3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30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</row>
    <row r="58" ht="3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30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</row>
    <row r="60" ht="3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30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</row>
    <row r="62" ht="3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30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</row>
    <row r="64" ht="3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30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</row>
    <row r="66" ht="3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30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</row>
  </sheetData>
  <mergeCells count="4">
    <mergeCell ref="A3:L3"/>
    <mergeCell ref="A2:L2"/>
    <mergeCell ref="A1:L1"/>
    <mergeCell ref="A5:L5"/>
  </mergeCells>
  <dataValidations count="6">
    <dataValidation sqref="F8:F67" showDropDown="0" showInputMessage="0" showErrorMessage="0" allowBlank="1" type="list">
      <formula1>=Listas!$A$5:$A$9</formula1>
    </dataValidation>
    <dataValidation sqref="R8:R67" showDropDown="0" showInputMessage="0" showErrorMessage="0" allowBlank="1" type="list">
      <formula1>=Listas!$B$5:$B$12</formula1>
    </dataValidation>
    <dataValidation sqref="V8:V67" showDropDown="0" showInputMessage="0" showErrorMessage="0" allowBlank="1" type="list">
      <formula1>=Listas!$C$5:$C$8</formula1>
    </dataValidation>
    <dataValidation sqref="W8:W67" showDropDown="0" showInputMessage="0" showErrorMessage="0" allowBlank="1" type="list">
      <formula1>=Listas!$D$5:$D$6</formula1>
    </dataValidation>
    <dataValidation sqref="X8:X67" showDropDown="0" showInputMessage="0" showErrorMessage="0" allowBlank="1" type="list">
      <formula1>=Listas!$E$5:$E$7</formula1>
    </dataValidation>
    <dataValidation sqref="AA8:AA67" showDropDown="0" showInputMessage="0" showErrorMessage="0" allowBlank="1" type="list">
      <formula1>=Listas!$F$5:$F$8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32" customWidth="1" min="5" max="5"/>
    <col width="22" customWidth="1" min="6" max="6"/>
    <col width="24" customWidth="1" min="7" max="7"/>
    <col width="24" customWidth="1" min="8" max="8"/>
    <col width="22" customWidth="1" min="9" max="9"/>
    <col width="28" customWidth="1" min="10" max="10"/>
    <col width="30" customWidth="1" min="11" max="11"/>
    <col width="30" customWidth="1" min="12" max="12"/>
    <col width="28" customWidth="1" min="13" max="13"/>
    <col width="26" customWidth="1" min="14" max="14"/>
    <col width="26" customWidth="1" min="15" max="15"/>
    <col width="28" customWidth="1" min="16" max="16"/>
    <col width="26" customWidth="1" min="17" max="17"/>
    <col width="20" customWidth="1" min="18" max="18"/>
    <col width="16" customWidth="1" min="19" max="19"/>
    <col width="30" customWidth="1" min="20" max="20"/>
    <col width="24" customWidth="1" min="21" max="21"/>
    <col width="16" customWidth="1" min="22" max="22"/>
    <col width="20" customWidth="1" min="23" max="23"/>
    <col width="18" customWidth="1" min="24" max="24"/>
    <col width="20" customWidth="1" min="25" max="25"/>
    <col width="16" customWidth="1" min="26" max="26"/>
    <col width="16" customWidth="1" min="27" max="27"/>
  </cols>
  <sheetData>
    <row r="1">
      <c r="A1" s="7" t="inlineStr">
        <is>
          <t>Mapeamento de Processos — Diretoria de Operações</t>
        </is>
      </c>
    </row>
    <row r="2">
      <c r="A2" s="2" t="inlineStr">
        <is>
          <t>VAN-FOR-SGQ-001  |  Versão 1.0  |  Emissão 11/09/2026  |  SGQ Vanguarda (VAN-QUAL-001)  |  CONFIDENCIAL</t>
        </is>
      </c>
    </row>
    <row r="3">
      <c r="A3" s="2" t="inlineStr">
        <is>
          <t>Setor: Diretoria de Operações   |   Código de área SGQ: OPS   |   Prefixo dos processos: OPE.NN</t>
        </is>
      </c>
    </row>
    <row r="5" ht="30" customHeight="1">
      <c r="A5" s="8" t="inlineStr">
        <is>
          <t>COMO PREENCHER: escreva a partir da linha 9. A linha 8, em amarelo, é EXEMPLO — apague-a ou sobrescreva-a. Colunas com (*) são obrigatórias. Células em verde são calculadas automaticamente: não digite nelas.</t>
        </is>
      </c>
    </row>
    <row r="6">
      <c r="A6" s="9" t="inlineStr">
        <is>
          <t>Cabeçalho</t>
        </is>
      </c>
      <c r="B6" s="9" t="inlineStr">
        <is>
          <t>Cabeçalho</t>
        </is>
      </c>
      <c r="C6" s="9" t="inlineStr">
        <is>
          <t>§1 Objetivo</t>
        </is>
      </c>
      <c r="D6" s="9" t="inlineStr">
        <is>
          <t>§2 Escopo</t>
        </is>
      </c>
      <c r="E6" s="9" t="inlineStr">
        <is>
          <t>§2 Escopo</t>
        </is>
      </c>
      <c r="F6" s="9" t="inlineStr">
        <is>
          <t>§2 Escopo</t>
        </is>
      </c>
      <c r="G6" s="9" t="inlineStr">
        <is>
          <t>Cabeçalho</t>
        </is>
      </c>
      <c r="H6" s="9" t="inlineStr">
        <is>
          <t>§5 RACI</t>
        </is>
      </c>
      <c r="I6" s="9" t="inlineStr">
        <is>
          <t>§5 RACI</t>
        </is>
      </c>
      <c r="J6" s="9" t="inlineStr">
        <is>
          <t>§6 SIPOC</t>
        </is>
      </c>
      <c r="K6" s="9" t="inlineStr">
        <is>
          <t>§6 SIPOC</t>
        </is>
      </c>
      <c r="L6" s="9" t="inlineStr">
        <is>
          <t>§6 SIPOC</t>
        </is>
      </c>
      <c r="M6" s="9" t="inlineStr">
        <is>
          <t>§6 SIPOC</t>
        </is>
      </c>
      <c r="N6" s="9" t="inlineStr">
        <is>
          <t>§7 Recursos</t>
        </is>
      </c>
      <c r="O6" s="9" t="inlineStr">
        <is>
          <t>§7 Recursos</t>
        </is>
      </c>
      <c r="P6" s="9" t="inlineStr">
        <is>
          <t>§8 Competências</t>
        </is>
      </c>
      <c r="Q6" s="9" t="inlineStr">
        <is>
          <t>§8 Competências</t>
        </is>
      </c>
      <c r="R6" s="9" t="inlineStr">
        <is>
          <t>§9 Processo</t>
        </is>
      </c>
      <c r="S6" s="9" t="inlineStr">
        <is>
          <t>§10 KPIs</t>
        </is>
      </c>
      <c r="T6" s="9" t="inlineStr">
        <is>
          <t>§14 Registros</t>
        </is>
      </c>
      <c r="U6" s="9" t="inlineStr">
        <is>
          <t>§14 Registros</t>
        </is>
      </c>
      <c r="V6" s="9" t="inlineStr">
        <is>
          <t>§14 Registros</t>
        </is>
      </c>
      <c r="W6" s="9" t="inlineStr">
        <is>
          <t>§5 RACI</t>
        </is>
      </c>
      <c r="X6" s="9" t="inlineStr">
        <is>
          <t>Planejamento</t>
        </is>
      </c>
      <c r="Y6" s="9" t="inlineStr">
        <is>
          <t>Controle</t>
        </is>
      </c>
      <c r="Z6" s="9" t="inlineStr">
        <is>
          <t>Controle</t>
        </is>
      </c>
      <c r="AA6" s="9" t="inlineStr">
        <is>
          <t>Controle</t>
        </is>
      </c>
    </row>
    <row r="7" ht="42" customHeight="1">
      <c r="A7" s="10" t="inlineStr">
        <is>
          <t>Código do Processo *</t>
        </is>
      </c>
      <c r="B7" s="10" t="inlineStr">
        <is>
          <t>Nome do Processo *</t>
        </is>
      </c>
      <c r="C7" s="10" t="inlineStr">
        <is>
          <t>Objetivo (1 a 2 frases) *</t>
        </is>
      </c>
      <c r="D7" s="10" t="inlineStr">
        <is>
          <t>Escopo — o que o processo cobre *</t>
        </is>
      </c>
      <c r="E7" s="10" t="inlineStr">
        <is>
          <t>NÃO está no escopo *</t>
        </is>
      </c>
      <c r="F7" s="10" t="inlineStr">
        <is>
          <t>Entidades aplicáveis *</t>
        </is>
      </c>
      <c r="G7" s="10" t="inlineStr">
        <is>
          <t>Gestor do Processo (cargo) *</t>
        </is>
      </c>
      <c r="H7" s="10" t="inlineStr">
        <is>
          <t>Executor principal (cargo) *</t>
        </is>
      </c>
      <c r="I7" s="10" t="inlineStr">
        <is>
          <t>Aprovador (cargo) *</t>
        </is>
      </c>
      <c r="J7" s="10" t="inlineStr">
        <is>
          <t>Fornecedores — de quem recebe *</t>
        </is>
      </c>
      <c r="K7" s="10" t="inlineStr">
        <is>
          <t>Entradas — o que recebe *</t>
        </is>
      </c>
      <c r="L7" s="10" t="inlineStr">
        <is>
          <t>Saídas — o que entrega *</t>
        </is>
      </c>
      <c r="M7" s="10" t="inlineStr">
        <is>
          <t>Clientes — quem recebe a saída *</t>
        </is>
      </c>
      <c r="N7" s="10" t="inlineStr">
        <is>
          <t>Sistemas e ferramentas *</t>
        </is>
      </c>
      <c r="O7" s="10" t="inlineStr">
        <is>
          <t>Documentos de referência</t>
        </is>
      </c>
      <c r="P7" s="10" t="inlineStr">
        <is>
          <t>Competências necessárias</t>
        </is>
      </c>
      <c r="Q7" s="10" t="inlineStr">
        <is>
          <t>Treinamentos obrigatórios</t>
        </is>
      </c>
      <c r="R7" s="10" t="inlineStr">
        <is>
          <t>Frequência de execução *</t>
        </is>
      </c>
      <c r="S7" s="10" t="inlineStr">
        <is>
          <t>Volume médio mensal</t>
        </is>
      </c>
      <c r="T7" s="10" t="inlineStr">
        <is>
          <t>Registros e evidências gerados *</t>
        </is>
      </c>
      <c r="U7" s="10" t="inlineStr">
        <is>
          <t>Local de armazenamento *</t>
        </is>
      </c>
      <c r="V7" s="10" t="inlineStr">
        <is>
          <t>Retenção</t>
        </is>
      </c>
      <c r="W7" s="10" t="inlineStr">
        <is>
          <t>Envolve pagamento ou compromisso financeiro? *</t>
        </is>
      </c>
      <c r="X7" s="10" t="inlineStr">
        <is>
          <t>Prioridade para redação do POP *</t>
        </is>
      </c>
      <c r="Y7" s="10" t="inlineStr">
        <is>
          <t>Preenchido por *</t>
        </is>
      </c>
      <c r="Z7" s="10" t="inlineStr">
        <is>
          <t>Data do preenchimento *</t>
        </is>
      </c>
      <c r="AA7" s="10" t="inlineStr">
        <is>
          <t>Status *</t>
        </is>
      </c>
    </row>
    <row r="8" ht="30" customHeight="1">
      <c r="A8" s="11" t="inlineStr">
        <is>
          <t>OPE.01</t>
        </is>
      </c>
      <c r="B8" s="11" t="inlineStr">
        <is>
          <t>Veiculação de campanha de mídia paga</t>
        </is>
      </c>
      <c r="C8" s="11" t="inlineStr">
        <is>
          <t>Padronizar o planejamento, a veiculação e a conferência de campanhas de mídia paga, garantindo rastreabilidade da verba e do resultado.</t>
        </is>
      </c>
      <c r="D8" s="11" t="inlineStr">
        <is>
          <t>Do briefing aprovado até o relatório de fechamento da campanha.</t>
        </is>
      </c>
      <c r="E8" s="11" t="inlineStr">
        <is>
          <t>Negociação comercial com o cliente; emissão de nota fiscal.</t>
        </is>
      </c>
      <c r="F8" s="11" t="inlineStr">
        <is>
          <t>Vanguarda Martech</t>
        </is>
      </c>
      <c r="G8" s="11" t="inlineStr">
        <is>
          <t>Supervisor de Mídia Paga</t>
        </is>
      </c>
      <c r="H8" s="11" t="inlineStr">
        <is>
          <t>Analista de Mídia Paga</t>
        </is>
      </c>
      <c r="I8" s="11" t="inlineStr">
        <is>
          <t>Diretoria de Operações</t>
        </is>
      </c>
      <c r="J8" s="11" t="inlineStr">
        <is>
          <t>Account; Planejamento</t>
        </is>
      </c>
      <c r="K8" s="11" t="inlineStr">
        <is>
          <t>Briefing aprovado; verba liberada; peças aprovadas</t>
        </is>
      </c>
      <c r="L8" s="11" t="inlineStr">
        <is>
          <t>Campanha veiculada; relatório de performance</t>
        </is>
      </c>
      <c r="M8" s="11" t="inlineStr">
        <is>
          <t>Account; Cliente</t>
        </is>
      </c>
      <c r="N8" s="11" t="inlineStr">
        <is>
          <t>Google Ads; Meta Ads; Nekt; Power BI</t>
        </is>
      </c>
      <c r="O8" s="11" t="inlineStr">
        <is>
          <t>VAN-POP-FIN-004 (Controle de Verbas de Impulsionamento)</t>
        </is>
      </c>
      <c r="P8" s="11" t="inlineStr">
        <is>
          <t>Gestão de campanhas; leitura de métricas; Excel intermediário</t>
        </is>
      </c>
      <c r="Q8" s="11" t="inlineStr">
        <is>
          <t>Google Ads Certification; LGPD</t>
        </is>
      </c>
      <c r="R8" s="11" t="inlineStr">
        <is>
          <t>Diária</t>
        </is>
      </c>
      <c r="S8" s="11" t="n">
        <v>45</v>
      </c>
      <c r="T8" s="11" t="inlineStr">
        <is>
          <t>Print de veiculação; relatório mensal; PI assinado</t>
        </is>
      </c>
      <c r="U8" s="11" t="inlineStr">
        <is>
          <t>Google Drive — SGQ/Mídia</t>
        </is>
      </c>
      <c r="V8" s="11" t="inlineStr">
        <is>
          <t>5 anos</t>
        </is>
      </c>
      <c r="W8" s="11" t="inlineStr">
        <is>
          <t>Sim</t>
        </is>
      </c>
      <c r="X8" s="11" t="inlineStr">
        <is>
          <t>Alta</t>
        </is>
      </c>
      <c r="Y8" s="11" t="inlineStr">
        <is>
          <t>(quem preencheu)</t>
        </is>
      </c>
      <c r="Z8" s="11" t="inlineStr">
        <is>
          <t>11/09/2026</t>
        </is>
      </c>
      <c r="AA8" s="11" t="inlineStr">
        <is>
          <t>Não iniciado</t>
        </is>
      </c>
    </row>
    <row r="9" ht="30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3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30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30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30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30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30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30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30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30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30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30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30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</row>
    <row r="34" ht="3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30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</row>
    <row r="36" ht="3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30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</row>
    <row r="38" ht="3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30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</row>
    <row r="40" ht="3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30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</row>
    <row r="42" ht="3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30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</row>
    <row r="44" ht="3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30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</row>
    <row r="46" ht="3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30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</row>
    <row r="48" ht="3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30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</row>
    <row r="50" ht="3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30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</row>
    <row r="52" ht="3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30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</row>
    <row r="54" ht="3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30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</row>
    <row r="56" ht="3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30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</row>
    <row r="58" ht="3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30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</row>
    <row r="60" ht="3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30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</row>
    <row r="62" ht="3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30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</row>
    <row r="64" ht="3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30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</row>
    <row r="66" ht="3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30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</row>
  </sheetData>
  <mergeCells count="4">
    <mergeCell ref="A3:L3"/>
    <mergeCell ref="A2:L2"/>
    <mergeCell ref="A1:L1"/>
    <mergeCell ref="A5:L5"/>
  </mergeCells>
  <dataValidations count="6">
    <dataValidation sqref="F8:F67" showDropDown="0" showInputMessage="0" showErrorMessage="0" allowBlank="1" type="list">
      <formula1>=Listas!$A$5:$A$9</formula1>
    </dataValidation>
    <dataValidation sqref="R8:R67" showDropDown="0" showInputMessage="0" showErrorMessage="0" allowBlank="1" type="list">
      <formula1>=Listas!$B$5:$B$12</formula1>
    </dataValidation>
    <dataValidation sqref="V8:V67" showDropDown="0" showInputMessage="0" showErrorMessage="0" allowBlank="1" type="list">
      <formula1>=Listas!$C$5:$C$8</formula1>
    </dataValidation>
    <dataValidation sqref="W8:W67" showDropDown="0" showInputMessage="0" showErrorMessage="0" allowBlank="1" type="list">
      <formula1>=Listas!$D$5:$D$6</formula1>
    </dataValidation>
    <dataValidation sqref="X8:X67" showDropDown="0" showInputMessage="0" showErrorMessage="0" allowBlank="1" type="list">
      <formula1>=Listas!$E$5:$E$7</formula1>
    </dataValidation>
    <dataValidation sqref="AA8:AA67" showDropDown="0" showInputMessage="0" showErrorMessage="0" allowBlank="1" type="list">
      <formula1>=Listas!$F$5:$F$8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32" customWidth="1" min="5" max="5"/>
    <col width="22" customWidth="1" min="6" max="6"/>
    <col width="24" customWidth="1" min="7" max="7"/>
    <col width="24" customWidth="1" min="8" max="8"/>
    <col width="22" customWidth="1" min="9" max="9"/>
    <col width="28" customWidth="1" min="10" max="10"/>
    <col width="30" customWidth="1" min="11" max="11"/>
    <col width="30" customWidth="1" min="12" max="12"/>
    <col width="28" customWidth="1" min="13" max="13"/>
    <col width="26" customWidth="1" min="14" max="14"/>
    <col width="26" customWidth="1" min="15" max="15"/>
    <col width="28" customWidth="1" min="16" max="16"/>
    <col width="26" customWidth="1" min="17" max="17"/>
    <col width="20" customWidth="1" min="18" max="18"/>
    <col width="16" customWidth="1" min="19" max="19"/>
    <col width="30" customWidth="1" min="20" max="20"/>
    <col width="24" customWidth="1" min="21" max="21"/>
    <col width="16" customWidth="1" min="22" max="22"/>
    <col width="20" customWidth="1" min="23" max="23"/>
    <col width="18" customWidth="1" min="24" max="24"/>
    <col width="20" customWidth="1" min="25" max="25"/>
    <col width="16" customWidth="1" min="26" max="26"/>
    <col width="16" customWidth="1" min="27" max="27"/>
  </cols>
  <sheetData>
    <row r="1">
      <c r="A1" s="7" t="inlineStr">
        <is>
          <t>Mapeamento de Processos — Recursos Humanos</t>
        </is>
      </c>
    </row>
    <row r="2">
      <c r="A2" s="2" t="inlineStr">
        <is>
          <t>VAN-FOR-SGQ-001  |  Versão 1.0  |  Emissão 11/09/2026  |  SGQ Vanguarda (VAN-QUAL-001)  |  CONFIDENCIAL</t>
        </is>
      </c>
    </row>
    <row r="3">
      <c r="A3" s="2" t="inlineStr">
        <is>
          <t>Setor: Recursos Humanos   |   Código de área SGQ: RH   |   Prefixo dos processos: RHU.NN</t>
        </is>
      </c>
    </row>
    <row r="5" ht="30" customHeight="1">
      <c r="A5" s="8" t="inlineStr">
        <is>
          <t>COMO PREENCHER: escreva a partir da linha 9. A linha 8, em amarelo, é EXEMPLO — apague-a ou sobrescreva-a. Colunas com (*) são obrigatórias. Células em verde são calculadas automaticamente: não digite nelas.</t>
        </is>
      </c>
    </row>
    <row r="6">
      <c r="A6" s="9" t="inlineStr">
        <is>
          <t>Cabeçalho</t>
        </is>
      </c>
      <c r="B6" s="9" t="inlineStr">
        <is>
          <t>Cabeçalho</t>
        </is>
      </c>
      <c r="C6" s="9" t="inlineStr">
        <is>
          <t>§1 Objetivo</t>
        </is>
      </c>
      <c r="D6" s="9" t="inlineStr">
        <is>
          <t>§2 Escopo</t>
        </is>
      </c>
      <c r="E6" s="9" t="inlineStr">
        <is>
          <t>§2 Escopo</t>
        </is>
      </c>
      <c r="F6" s="9" t="inlineStr">
        <is>
          <t>§2 Escopo</t>
        </is>
      </c>
      <c r="G6" s="9" t="inlineStr">
        <is>
          <t>Cabeçalho</t>
        </is>
      </c>
      <c r="H6" s="9" t="inlineStr">
        <is>
          <t>§5 RACI</t>
        </is>
      </c>
      <c r="I6" s="9" t="inlineStr">
        <is>
          <t>§5 RACI</t>
        </is>
      </c>
      <c r="J6" s="9" t="inlineStr">
        <is>
          <t>§6 SIPOC</t>
        </is>
      </c>
      <c r="K6" s="9" t="inlineStr">
        <is>
          <t>§6 SIPOC</t>
        </is>
      </c>
      <c r="L6" s="9" t="inlineStr">
        <is>
          <t>§6 SIPOC</t>
        </is>
      </c>
      <c r="M6" s="9" t="inlineStr">
        <is>
          <t>§6 SIPOC</t>
        </is>
      </c>
      <c r="N6" s="9" t="inlineStr">
        <is>
          <t>§7 Recursos</t>
        </is>
      </c>
      <c r="O6" s="9" t="inlineStr">
        <is>
          <t>§7 Recursos</t>
        </is>
      </c>
      <c r="P6" s="9" t="inlineStr">
        <is>
          <t>§8 Competências</t>
        </is>
      </c>
      <c r="Q6" s="9" t="inlineStr">
        <is>
          <t>§8 Competências</t>
        </is>
      </c>
      <c r="R6" s="9" t="inlineStr">
        <is>
          <t>§9 Processo</t>
        </is>
      </c>
      <c r="S6" s="9" t="inlineStr">
        <is>
          <t>§10 KPIs</t>
        </is>
      </c>
      <c r="T6" s="9" t="inlineStr">
        <is>
          <t>§14 Registros</t>
        </is>
      </c>
      <c r="U6" s="9" t="inlineStr">
        <is>
          <t>§14 Registros</t>
        </is>
      </c>
      <c r="V6" s="9" t="inlineStr">
        <is>
          <t>§14 Registros</t>
        </is>
      </c>
      <c r="W6" s="9" t="inlineStr">
        <is>
          <t>§5 RACI</t>
        </is>
      </c>
      <c r="X6" s="9" t="inlineStr">
        <is>
          <t>Planejamento</t>
        </is>
      </c>
      <c r="Y6" s="9" t="inlineStr">
        <is>
          <t>Controle</t>
        </is>
      </c>
      <c r="Z6" s="9" t="inlineStr">
        <is>
          <t>Controle</t>
        </is>
      </c>
      <c r="AA6" s="9" t="inlineStr">
        <is>
          <t>Controle</t>
        </is>
      </c>
    </row>
    <row r="7" ht="42" customHeight="1">
      <c r="A7" s="10" t="inlineStr">
        <is>
          <t>Código do Processo *</t>
        </is>
      </c>
      <c r="B7" s="10" t="inlineStr">
        <is>
          <t>Nome do Processo *</t>
        </is>
      </c>
      <c r="C7" s="10" t="inlineStr">
        <is>
          <t>Objetivo (1 a 2 frases) *</t>
        </is>
      </c>
      <c r="D7" s="10" t="inlineStr">
        <is>
          <t>Escopo — o que o processo cobre *</t>
        </is>
      </c>
      <c r="E7" s="10" t="inlineStr">
        <is>
          <t>NÃO está no escopo *</t>
        </is>
      </c>
      <c r="F7" s="10" t="inlineStr">
        <is>
          <t>Entidades aplicáveis *</t>
        </is>
      </c>
      <c r="G7" s="10" t="inlineStr">
        <is>
          <t>Gestor do Processo (cargo) *</t>
        </is>
      </c>
      <c r="H7" s="10" t="inlineStr">
        <is>
          <t>Executor principal (cargo) *</t>
        </is>
      </c>
      <c r="I7" s="10" t="inlineStr">
        <is>
          <t>Aprovador (cargo) *</t>
        </is>
      </c>
      <c r="J7" s="10" t="inlineStr">
        <is>
          <t>Fornecedores — de quem recebe *</t>
        </is>
      </c>
      <c r="K7" s="10" t="inlineStr">
        <is>
          <t>Entradas — o que recebe *</t>
        </is>
      </c>
      <c r="L7" s="10" t="inlineStr">
        <is>
          <t>Saídas — o que entrega *</t>
        </is>
      </c>
      <c r="M7" s="10" t="inlineStr">
        <is>
          <t>Clientes — quem recebe a saída *</t>
        </is>
      </c>
      <c r="N7" s="10" t="inlineStr">
        <is>
          <t>Sistemas e ferramentas *</t>
        </is>
      </c>
      <c r="O7" s="10" t="inlineStr">
        <is>
          <t>Documentos de referência</t>
        </is>
      </c>
      <c r="P7" s="10" t="inlineStr">
        <is>
          <t>Competências necessárias</t>
        </is>
      </c>
      <c r="Q7" s="10" t="inlineStr">
        <is>
          <t>Treinamentos obrigatórios</t>
        </is>
      </c>
      <c r="R7" s="10" t="inlineStr">
        <is>
          <t>Frequência de execução *</t>
        </is>
      </c>
      <c r="S7" s="10" t="inlineStr">
        <is>
          <t>Volume médio mensal</t>
        </is>
      </c>
      <c r="T7" s="10" t="inlineStr">
        <is>
          <t>Registros e evidências gerados *</t>
        </is>
      </c>
      <c r="U7" s="10" t="inlineStr">
        <is>
          <t>Local de armazenamento *</t>
        </is>
      </c>
      <c r="V7" s="10" t="inlineStr">
        <is>
          <t>Retenção</t>
        </is>
      </c>
      <c r="W7" s="10" t="inlineStr">
        <is>
          <t>Envolve pagamento ou compromisso financeiro? *</t>
        </is>
      </c>
      <c r="X7" s="10" t="inlineStr">
        <is>
          <t>Prioridade para redação do POP *</t>
        </is>
      </c>
      <c r="Y7" s="10" t="inlineStr">
        <is>
          <t>Preenchido por *</t>
        </is>
      </c>
      <c r="Z7" s="10" t="inlineStr">
        <is>
          <t>Data do preenchimento *</t>
        </is>
      </c>
      <c r="AA7" s="10" t="inlineStr">
        <is>
          <t>Status *</t>
        </is>
      </c>
    </row>
    <row r="8" ht="30" customHeight="1">
      <c r="A8" s="11" t="inlineStr">
        <is>
          <t>RHU.01</t>
        </is>
      </c>
      <c r="B8" s="11" t="inlineStr">
        <is>
          <t>Veiculação de campanha de mídia paga</t>
        </is>
      </c>
      <c r="C8" s="11" t="inlineStr">
        <is>
          <t>Padronizar o planejamento, a veiculação e a conferência de campanhas de mídia paga, garantindo rastreabilidade da verba e do resultado.</t>
        </is>
      </c>
      <c r="D8" s="11" t="inlineStr">
        <is>
          <t>Do briefing aprovado até o relatório de fechamento da campanha.</t>
        </is>
      </c>
      <c r="E8" s="11" t="inlineStr">
        <is>
          <t>Negociação comercial com o cliente; emissão de nota fiscal.</t>
        </is>
      </c>
      <c r="F8" s="11" t="inlineStr">
        <is>
          <t>Vanguarda Martech</t>
        </is>
      </c>
      <c r="G8" s="11" t="inlineStr">
        <is>
          <t>Supervisor de Mídia Paga</t>
        </is>
      </c>
      <c r="H8" s="11" t="inlineStr">
        <is>
          <t>Analista de Mídia Paga</t>
        </is>
      </c>
      <c r="I8" s="11" t="inlineStr">
        <is>
          <t>Diretoria de Operações</t>
        </is>
      </c>
      <c r="J8" s="11" t="inlineStr">
        <is>
          <t>Account; Planejamento</t>
        </is>
      </c>
      <c r="K8" s="11" t="inlineStr">
        <is>
          <t>Briefing aprovado; verba liberada; peças aprovadas</t>
        </is>
      </c>
      <c r="L8" s="11" t="inlineStr">
        <is>
          <t>Campanha veiculada; relatório de performance</t>
        </is>
      </c>
      <c r="M8" s="11" t="inlineStr">
        <is>
          <t>Account; Cliente</t>
        </is>
      </c>
      <c r="N8" s="11" t="inlineStr">
        <is>
          <t>Google Ads; Meta Ads; Nekt; Power BI</t>
        </is>
      </c>
      <c r="O8" s="11" t="inlineStr">
        <is>
          <t>VAN-POP-FIN-004 (Controle de Verbas de Impulsionamento)</t>
        </is>
      </c>
      <c r="P8" s="11" t="inlineStr">
        <is>
          <t>Gestão de campanhas; leitura de métricas; Excel intermediário</t>
        </is>
      </c>
      <c r="Q8" s="11" t="inlineStr">
        <is>
          <t>Google Ads Certification; LGPD</t>
        </is>
      </c>
      <c r="R8" s="11" t="inlineStr">
        <is>
          <t>Diária</t>
        </is>
      </c>
      <c r="S8" s="11" t="n">
        <v>45</v>
      </c>
      <c r="T8" s="11" t="inlineStr">
        <is>
          <t>Print de veiculação; relatório mensal; PI assinado</t>
        </is>
      </c>
      <c r="U8" s="11" t="inlineStr">
        <is>
          <t>Google Drive — SGQ/Mídia</t>
        </is>
      </c>
      <c r="V8" s="11" t="inlineStr">
        <is>
          <t>5 anos</t>
        </is>
      </c>
      <c r="W8" s="11" t="inlineStr">
        <is>
          <t>Sim</t>
        </is>
      </c>
      <c r="X8" s="11" t="inlineStr">
        <is>
          <t>Alta</t>
        </is>
      </c>
      <c r="Y8" s="11" t="inlineStr">
        <is>
          <t>(quem preencheu)</t>
        </is>
      </c>
      <c r="Z8" s="11" t="inlineStr">
        <is>
          <t>11/09/2026</t>
        </is>
      </c>
      <c r="AA8" s="11" t="inlineStr">
        <is>
          <t>Não iniciado</t>
        </is>
      </c>
    </row>
    <row r="9" ht="30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3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30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30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30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30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30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30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30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30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30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30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30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</row>
    <row r="34" ht="3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30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</row>
    <row r="36" ht="3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30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</row>
    <row r="38" ht="3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30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</row>
    <row r="40" ht="3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30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</row>
    <row r="42" ht="3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30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</row>
    <row r="44" ht="3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30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</row>
    <row r="46" ht="3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30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</row>
    <row r="48" ht="3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30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</row>
    <row r="50" ht="3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30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</row>
    <row r="52" ht="3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30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</row>
    <row r="54" ht="3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30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</row>
    <row r="56" ht="3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30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</row>
    <row r="58" ht="3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30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</row>
    <row r="60" ht="3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30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</row>
    <row r="62" ht="3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30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</row>
    <row r="64" ht="3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30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</row>
    <row r="66" ht="3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30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</row>
  </sheetData>
  <mergeCells count="4">
    <mergeCell ref="A3:L3"/>
    <mergeCell ref="A2:L2"/>
    <mergeCell ref="A1:L1"/>
    <mergeCell ref="A5:L5"/>
  </mergeCells>
  <dataValidations count="6">
    <dataValidation sqref="F8:F67" showDropDown="0" showInputMessage="0" showErrorMessage="0" allowBlank="1" type="list">
      <formula1>=Listas!$A$5:$A$9</formula1>
    </dataValidation>
    <dataValidation sqref="R8:R67" showDropDown="0" showInputMessage="0" showErrorMessage="0" allowBlank="1" type="list">
      <formula1>=Listas!$B$5:$B$12</formula1>
    </dataValidation>
    <dataValidation sqref="V8:V67" showDropDown="0" showInputMessage="0" showErrorMessage="0" allowBlank="1" type="list">
      <formula1>=Listas!$C$5:$C$8</formula1>
    </dataValidation>
    <dataValidation sqref="W8:W67" showDropDown="0" showInputMessage="0" showErrorMessage="0" allowBlank="1" type="list">
      <formula1>=Listas!$D$5:$D$6</formula1>
    </dataValidation>
    <dataValidation sqref="X8:X67" showDropDown="0" showInputMessage="0" showErrorMessage="0" allowBlank="1" type="list">
      <formula1>=Listas!$E$5:$E$7</formula1>
    </dataValidation>
    <dataValidation sqref="AA8:AA67" showDropDown="0" showInputMessage="0" showErrorMessage="0" allowBlank="1" type="list">
      <formula1>=Listas!$F$5:$F$8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32" customWidth="1" min="5" max="5"/>
    <col width="22" customWidth="1" min="6" max="6"/>
    <col width="24" customWidth="1" min="7" max="7"/>
    <col width="24" customWidth="1" min="8" max="8"/>
    <col width="22" customWidth="1" min="9" max="9"/>
    <col width="28" customWidth="1" min="10" max="10"/>
    <col width="30" customWidth="1" min="11" max="11"/>
    <col width="30" customWidth="1" min="12" max="12"/>
    <col width="28" customWidth="1" min="13" max="13"/>
    <col width="26" customWidth="1" min="14" max="14"/>
    <col width="26" customWidth="1" min="15" max="15"/>
    <col width="28" customWidth="1" min="16" max="16"/>
    <col width="26" customWidth="1" min="17" max="17"/>
    <col width="20" customWidth="1" min="18" max="18"/>
    <col width="16" customWidth="1" min="19" max="19"/>
    <col width="30" customWidth="1" min="20" max="20"/>
    <col width="24" customWidth="1" min="21" max="21"/>
    <col width="16" customWidth="1" min="22" max="22"/>
    <col width="20" customWidth="1" min="23" max="23"/>
    <col width="18" customWidth="1" min="24" max="24"/>
    <col width="20" customWidth="1" min="25" max="25"/>
    <col width="16" customWidth="1" min="26" max="26"/>
    <col width="16" customWidth="1" min="27" max="27"/>
  </cols>
  <sheetData>
    <row r="1">
      <c r="A1" s="7" t="inlineStr">
        <is>
          <t>Mapeamento de Processos — Diretoria Executiva</t>
        </is>
      </c>
    </row>
    <row r="2">
      <c r="A2" s="2" t="inlineStr">
        <is>
          <t>VAN-FOR-SGQ-001  |  Versão 1.0  |  Emissão 11/09/2026  |  SGQ Vanguarda (VAN-QUAL-001)  |  CONFIDENCIAL</t>
        </is>
      </c>
    </row>
    <row r="3">
      <c r="A3" s="2" t="inlineStr">
        <is>
          <t>Setor: Diretoria Executiva   |   Código de área SGQ: GOV*   |   Prefixo dos processos: DEX.NN   |   ATENÇÃO: codigo GOV proposto, pendente de validação da Qualidade</t>
        </is>
      </c>
    </row>
    <row r="5" ht="30" customHeight="1">
      <c r="A5" s="8" t="inlineStr">
        <is>
          <t>COMO PREENCHER: escreva a partir da linha 9. A linha 8, em amarelo, é EXEMPLO — apague-a ou sobrescreva-a. Colunas com (*) são obrigatórias. Células em verde são calculadas automaticamente: não digite nelas.</t>
        </is>
      </c>
    </row>
    <row r="6">
      <c r="A6" s="9" t="inlineStr">
        <is>
          <t>Cabeçalho</t>
        </is>
      </c>
      <c r="B6" s="9" t="inlineStr">
        <is>
          <t>Cabeçalho</t>
        </is>
      </c>
      <c r="C6" s="9" t="inlineStr">
        <is>
          <t>§1 Objetivo</t>
        </is>
      </c>
      <c r="D6" s="9" t="inlineStr">
        <is>
          <t>§2 Escopo</t>
        </is>
      </c>
      <c r="E6" s="9" t="inlineStr">
        <is>
          <t>§2 Escopo</t>
        </is>
      </c>
      <c r="F6" s="9" t="inlineStr">
        <is>
          <t>§2 Escopo</t>
        </is>
      </c>
      <c r="G6" s="9" t="inlineStr">
        <is>
          <t>Cabeçalho</t>
        </is>
      </c>
      <c r="H6" s="9" t="inlineStr">
        <is>
          <t>§5 RACI</t>
        </is>
      </c>
      <c r="I6" s="9" t="inlineStr">
        <is>
          <t>§5 RACI</t>
        </is>
      </c>
      <c r="J6" s="9" t="inlineStr">
        <is>
          <t>§6 SIPOC</t>
        </is>
      </c>
      <c r="K6" s="9" t="inlineStr">
        <is>
          <t>§6 SIPOC</t>
        </is>
      </c>
      <c r="L6" s="9" t="inlineStr">
        <is>
          <t>§6 SIPOC</t>
        </is>
      </c>
      <c r="M6" s="9" t="inlineStr">
        <is>
          <t>§6 SIPOC</t>
        </is>
      </c>
      <c r="N6" s="9" t="inlineStr">
        <is>
          <t>§7 Recursos</t>
        </is>
      </c>
      <c r="O6" s="9" t="inlineStr">
        <is>
          <t>§7 Recursos</t>
        </is>
      </c>
      <c r="P6" s="9" t="inlineStr">
        <is>
          <t>§8 Competências</t>
        </is>
      </c>
      <c r="Q6" s="9" t="inlineStr">
        <is>
          <t>§8 Competências</t>
        </is>
      </c>
      <c r="R6" s="9" t="inlineStr">
        <is>
          <t>§9 Processo</t>
        </is>
      </c>
      <c r="S6" s="9" t="inlineStr">
        <is>
          <t>§10 KPIs</t>
        </is>
      </c>
      <c r="T6" s="9" t="inlineStr">
        <is>
          <t>§14 Registros</t>
        </is>
      </c>
      <c r="U6" s="9" t="inlineStr">
        <is>
          <t>§14 Registros</t>
        </is>
      </c>
      <c r="V6" s="9" t="inlineStr">
        <is>
          <t>§14 Registros</t>
        </is>
      </c>
      <c r="W6" s="9" t="inlineStr">
        <is>
          <t>§5 RACI</t>
        </is>
      </c>
      <c r="X6" s="9" t="inlineStr">
        <is>
          <t>Planejamento</t>
        </is>
      </c>
      <c r="Y6" s="9" t="inlineStr">
        <is>
          <t>Controle</t>
        </is>
      </c>
      <c r="Z6" s="9" t="inlineStr">
        <is>
          <t>Controle</t>
        </is>
      </c>
      <c r="AA6" s="9" t="inlineStr">
        <is>
          <t>Controle</t>
        </is>
      </c>
    </row>
    <row r="7" ht="42" customHeight="1">
      <c r="A7" s="10" t="inlineStr">
        <is>
          <t>Código do Processo *</t>
        </is>
      </c>
      <c r="B7" s="10" t="inlineStr">
        <is>
          <t>Nome do Processo *</t>
        </is>
      </c>
      <c r="C7" s="10" t="inlineStr">
        <is>
          <t>Objetivo (1 a 2 frases) *</t>
        </is>
      </c>
      <c r="D7" s="10" t="inlineStr">
        <is>
          <t>Escopo — o que o processo cobre *</t>
        </is>
      </c>
      <c r="E7" s="10" t="inlineStr">
        <is>
          <t>NÃO está no escopo *</t>
        </is>
      </c>
      <c r="F7" s="10" t="inlineStr">
        <is>
          <t>Entidades aplicáveis *</t>
        </is>
      </c>
      <c r="G7" s="10" t="inlineStr">
        <is>
          <t>Gestor do Processo (cargo) *</t>
        </is>
      </c>
      <c r="H7" s="10" t="inlineStr">
        <is>
          <t>Executor principal (cargo) *</t>
        </is>
      </c>
      <c r="I7" s="10" t="inlineStr">
        <is>
          <t>Aprovador (cargo) *</t>
        </is>
      </c>
      <c r="J7" s="10" t="inlineStr">
        <is>
          <t>Fornecedores — de quem recebe *</t>
        </is>
      </c>
      <c r="K7" s="10" t="inlineStr">
        <is>
          <t>Entradas — o que recebe *</t>
        </is>
      </c>
      <c r="L7" s="10" t="inlineStr">
        <is>
          <t>Saídas — o que entrega *</t>
        </is>
      </c>
      <c r="M7" s="10" t="inlineStr">
        <is>
          <t>Clientes — quem recebe a saída *</t>
        </is>
      </c>
      <c r="N7" s="10" t="inlineStr">
        <is>
          <t>Sistemas e ferramentas *</t>
        </is>
      </c>
      <c r="O7" s="10" t="inlineStr">
        <is>
          <t>Documentos de referência</t>
        </is>
      </c>
      <c r="P7" s="10" t="inlineStr">
        <is>
          <t>Competências necessárias</t>
        </is>
      </c>
      <c r="Q7" s="10" t="inlineStr">
        <is>
          <t>Treinamentos obrigatórios</t>
        </is>
      </c>
      <c r="R7" s="10" t="inlineStr">
        <is>
          <t>Frequência de execução *</t>
        </is>
      </c>
      <c r="S7" s="10" t="inlineStr">
        <is>
          <t>Volume médio mensal</t>
        </is>
      </c>
      <c r="T7" s="10" t="inlineStr">
        <is>
          <t>Registros e evidências gerados *</t>
        </is>
      </c>
      <c r="U7" s="10" t="inlineStr">
        <is>
          <t>Local de armazenamento *</t>
        </is>
      </c>
      <c r="V7" s="10" t="inlineStr">
        <is>
          <t>Retenção</t>
        </is>
      </c>
      <c r="W7" s="10" t="inlineStr">
        <is>
          <t>Envolve pagamento ou compromisso financeiro? *</t>
        </is>
      </c>
      <c r="X7" s="10" t="inlineStr">
        <is>
          <t>Prioridade para redação do POP *</t>
        </is>
      </c>
      <c r="Y7" s="10" t="inlineStr">
        <is>
          <t>Preenchido por *</t>
        </is>
      </c>
      <c r="Z7" s="10" t="inlineStr">
        <is>
          <t>Data do preenchimento *</t>
        </is>
      </c>
      <c r="AA7" s="10" t="inlineStr">
        <is>
          <t>Status *</t>
        </is>
      </c>
    </row>
    <row r="8" ht="30" customHeight="1">
      <c r="A8" s="11" t="inlineStr">
        <is>
          <t>DEX.01</t>
        </is>
      </c>
      <c r="B8" s="11" t="inlineStr">
        <is>
          <t>Veiculação de campanha de mídia paga</t>
        </is>
      </c>
      <c r="C8" s="11" t="inlineStr">
        <is>
          <t>Padronizar o planejamento, a veiculação e a conferência de campanhas de mídia paga, garantindo rastreabilidade da verba e do resultado.</t>
        </is>
      </c>
      <c r="D8" s="11" t="inlineStr">
        <is>
          <t>Do briefing aprovado até o relatório de fechamento da campanha.</t>
        </is>
      </c>
      <c r="E8" s="11" t="inlineStr">
        <is>
          <t>Negociação comercial com o cliente; emissão de nota fiscal.</t>
        </is>
      </c>
      <c r="F8" s="11" t="inlineStr">
        <is>
          <t>Vanguarda Martech</t>
        </is>
      </c>
      <c r="G8" s="11" t="inlineStr">
        <is>
          <t>Supervisor de Mídia Paga</t>
        </is>
      </c>
      <c r="H8" s="11" t="inlineStr">
        <is>
          <t>Analista de Mídia Paga</t>
        </is>
      </c>
      <c r="I8" s="11" t="inlineStr">
        <is>
          <t>Diretoria de Operações</t>
        </is>
      </c>
      <c r="J8" s="11" t="inlineStr">
        <is>
          <t>Account; Planejamento</t>
        </is>
      </c>
      <c r="K8" s="11" t="inlineStr">
        <is>
          <t>Briefing aprovado; verba liberada; peças aprovadas</t>
        </is>
      </c>
      <c r="L8" s="11" t="inlineStr">
        <is>
          <t>Campanha veiculada; relatório de performance</t>
        </is>
      </c>
      <c r="M8" s="11" t="inlineStr">
        <is>
          <t>Account; Cliente</t>
        </is>
      </c>
      <c r="N8" s="11" t="inlineStr">
        <is>
          <t>Google Ads; Meta Ads; Nekt; Power BI</t>
        </is>
      </c>
      <c r="O8" s="11" t="inlineStr">
        <is>
          <t>VAN-POP-FIN-004 (Controle de Verbas de Impulsionamento)</t>
        </is>
      </c>
      <c r="P8" s="11" t="inlineStr">
        <is>
          <t>Gestão de campanhas; leitura de métricas; Excel intermediário</t>
        </is>
      </c>
      <c r="Q8" s="11" t="inlineStr">
        <is>
          <t>Google Ads Certification; LGPD</t>
        </is>
      </c>
      <c r="R8" s="11" t="inlineStr">
        <is>
          <t>Diária</t>
        </is>
      </c>
      <c r="S8" s="11" t="n">
        <v>45</v>
      </c>
      <c r="T8" s="11" t="inlineStr">
        <is>
          <t>Print de veiculação; relatório mensal; PI assinado</t>
        </is>
      </c>
      <c r="U8" s="11" t="inlineStr">
        <is>
          <t>Google Drive — SGQ/Mídia</t>
        </is>
      </c>
      <c r="V8" s="11" t="inlineStr">
        <is>
          <t>5 anos</t>
        </is>
      </c>
      <c r="W8" s="11" t="inlineStr">
        <is>
          <t>Sim</t>
        </is>
      </c>
      <c r="X8" s="11" t="inlineStr">
        <is>
          <t>Alta</t>
        </is>
      </c>
      <c r="Y8" s="11" t="inlineStr">
        <is>
          <t>(quem preencheu)</t>
        </is>
      </c>
      <c r="Z8" s="11" t="inlineStr">
        <is>
          <t>11/09/2026</t>
        </is>
      </c>
      <c r="AA8" s="11" t="inlineStr">
        <is>
          <t>Não iniciado</t>
        </is>
      </c>
    </row>
    <row r="9" ht="30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3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30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30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30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30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30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30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30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30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30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30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30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</row>
    <row r="34" ht="3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30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</row>
    <row r="36" ht="3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30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</row>
    <row r="38" ht="3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30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</row>
    <row r="40" ht="3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30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</row>
    <row r="42" ht="3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30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</row>
    <row r="44" ht="3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30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</row>
    <row r="46" ht="3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30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</row>
    <row r="48" ht="3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30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</row>
    <row r="50" ht="3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30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</row>
    <row r="52" ht="3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30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</row>
    <row r="54" ht="3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30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</row>
    <row r="56" ht="3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30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</row>
    <row r="58" ht="3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30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</row>
    <row r="60" ht="3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30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</row>
    <row r="62" ht="3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30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</row>
    <row r="64" ht="3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30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</row>
    <row r="66" ht="3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30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</row>
  </sheetData>
  <mergeCells count="4">
    <mergeCell ref="A3:L3"/>
    <mergeCell ref="A2:L2"/>
    <mergeCell ref="A1:L1"/>
    <mergeCell ref="A5:L5"/>
  </mergeCells>
  <dataValidations count="6">
    <dataValidation sqref="F8:F67" showDropDown="0" showInputMessage="0" showErrorMessage="0" allowBlank="1" type="list">
      <formula1>=Listas!$A$5:$A$9</formula1>
    </dataValidation>
    <dataValidation sqref="R8:R67" showDropDown="0" showInputMessage="0" showErrorMessage="0" allowBlank="1" type="list">
      <formula1>=Listas!$B$5:$B$12</formula1>
    </dataValidation>
    <dataValidation sqref="V8:V67" showDropDown="0" showInputMessage="0" showErrorMessage="0" allowBlank="1" type="list">
      <formula1>=Listas!$C$5:$C$8</formula1>
    </dataValidation>
    <dataValidation sqref="W8:W67" showDropDown="0" showInputMessage="0" showErrorMessage="0" allowBlank="1" type="list">
      <formula1>=Listas!$D$5:$D$6</formula1>
    </dataValidation>
    <dataValidation sqref="X8:X67" showDropDown="0" showInputMessage="0" showErrorMessage="0" allowBlank="1" type="list">
      <formula1>=Listas!$E$5:$E$7</formula1>
    </dataValidation>
    <dataValidation sqref="AA8:AA67" showDropDown="0" showInputMessage="0" showErrorMessage="0" allowBlank="1" type="list">
      <formula1>=Listas!$F$5:$F$8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32" customWidth="1" min="5" max="5"/>
    <col width="22" customWidth="1" min="6" max="6"/>
    <col width="24" customWidth="1" min="7" max="7"/>
    <col width="24" customWidth="1" min="8" max="8"/>
    <col width="22" customWidth="1" min="9" max="9"/>
    <col width="28" customWidth="1" min="10" max="10"/>
    <col width="30" customWidth="1" min="11" max="11"/>
    <col width="30" customWidth="1" min="12" max="12"/>
    <col width="28" customWidth="1" min="13" max="13"/>
    <col width="26" customWidth="1" min="14" max="14"/>
    <col width="26" customWidth="1" min="15" max="15"/>
    <col width="28" customWidth="1" min="16" max="16"/>
    <col width="26" customWidth="1" min="17" max="17"/>
    <col width="20" customWidth="1" min="18" max="18"/>
    <col width="16" customWidth="1" min="19" max="19"/>
    <col width="30" customWidth="1" min="20" max="20"/>
    <col width="24" customWidth="1" min="21" max="21"/>
    <col width="16" customWidth="1" min="22" max="22"/>
    <col width="20" customWidth="1" min="23" max="23"/>
    <col width="18" customWidth="1" min="24" max="24"/>
    <col width="20" customWidth="1" min="25" max="25"/>
    <col width="16" customWidth="1" min="26" max="26"/>
    <col width="16" customWidth="1" min="27" max="27"/>
  </cols>
  <sheetData>
    <row r="1">
      <c r="A1" s="7" t="inlineStr">
        <is>
          <t>Mapeamento de Processos — Social Media</t>
        </is>
      </c>
    </row>
    <row r="2">
      <c r="A2" s="2" t="inlineStr">
        <is>
          <t>VAN-FOR-SGQ-001  |  Versão 1.0  |  Emissão 11/09/2026  |  SGQ Vanguarda (VAN-QUAL-001)  |  CONFIDENCIAL</t>
        </is>
      </c>
    </row>
    <row r="3">
      <c r="A3" s="2" t="inlineStr">
        <is>
          <t>Setor: Social Media   |   Código de área SGQ: MKT   |   Prefixo dos processos: SOC.NN</t>
        </is>
      </c>
    </row>
    <row r="5" ht="30" customHeight="1">
      <c r="A5" s="8" t="inlineStr">
        <is>
          <t>COMO PREENCHER: escreva a partir da linha 9. A linha 8, em amarelo, é EXEMPLO — apague-a ou sobrescreva-a. Colunas com (*) são obrigatórias. Células em verde são calculadas automaticamente: não digite nelas.</t>
        </is>
      </c>
    </row>
    <row r="6">
      <c r="A6" s="9" t="inlineStr">
        <is>
          <t>Cabeçalho</t>
        </is>
      </c>
      <c r="B6" s="9" t="inlineStr">
        <is>
          <t>Cabeçalho</t>
        </is>
      </c>
      <c r="C6" s="9" t="inlineStr">
        <is>
          <t>§1 Objetivo</t>
        </is>
      </c>
      <c r="D6" s="9" t="inlineStr">
        <is>
          <t>§2 Escopo</t>
        </is>
      </c>
      <c r="E6" s="9" t="inlineStr">
        <is>
          <t>§2 Escopo</t>
        </is>
      </c>
      <c r="F6" s="9" t="inlineStr">
        <is>
          <t>§2 Escopo</t>
        </is>
      </c>
      <c r="G6" s="9" t="inlineStr">
        <is>
          <t>Cabeçalho</t>
        </is>
      </c>
      <c r="H6" s="9" t="inlineStr">
        <is>
          <t>§5 RACI</t>
        </is>
      </c>
      <c r="I6" s="9" t="inlineStr">
        <is>
          <t>§5 RACI</t>
        </is>
      </c>
      <c r="J6" s="9" t="inlineStr">
        <is>
          <t>§6 SIPOC</t>
        </is>
      </c>
      <c r="K6" s="9" t="inlineStr">
        <is>
          <t>§6 SIPOC</t>
        </is>
      </c>
      <c r="L6" s="9" t="inlineStr">
        <is>
          <t>§6 SIPOC</t>
        </is>
      </c>
      <c r="M6" s="9" t="inlineStr">
        <is>
          <t>§6 SIPOC</t>
        </is>
      </c>
      <c r="N6" s="9" t="inlineStr">
        <is>
          <t>§7 Recursos</t>
        </is>
      </c>
      <c r="O6" s="9" t="inlineStr">
        <is>
          <t>§7 Recursos</t>
        </is>
      </c>
      <c r="P6" s="9" t="inlineStr">
        <is>
          <t>§8 Competências</t>
        </is>
      </c>
      <c r="Q6" s="9" t="inlineStr">
        <is>
          <t>§8 Competências</t>
        </is>
      </c>
      <c r="R6" s="9" t="inlineStr">
        <is>
          <t>§9 Processo</t>
        </is>
      </c>
      <c r="S6" s="9" t="inlineStr">
        <is>
          <t>§10 KPIs</t>
        </is>
      </c>
      <c r="T6" s="9" t="inlineStr">
        <is>
          <t>§14 Registros</t>
        </is>
      </c>
      <c r="U6" s="9" t="inlineStr">
        <is>
          <t>§14 Registros</t>
        </is>
      </c>
      <c r="V6" s="9" t="inlineStr">
        <is>
          <t>§14 Registros</t>
        </is>
      </c>
      <c r="W6" s="9" t="inlineStr">
        <is>
          <t>§5 RACI</t>
        </is>
      </c>
      <c r="X6" s="9" t="inlineStr">
        <is>
          <t>Planejamento</t>
        </is>
      </c>
      <c r="Y6" s="9" t="inlineStr">
        <is>
          <t>Controle</t>
        </is>
      </c>
      <c r="Z6" s="9" t="inlineStr">
        <is>
          <t>Controle</t>
        </is>
      </c>
      <c r="AA6" s="9" t="inlineStr">
        <is>
          <t>Controle</t>
        </is>
      </c>
    </row>
    <row r="7" ht="42" customHeight="1">
      <c r="A7" s="10" t="inlineStr">
        <is>
          <t>Código do Processo *</t>
        </is>
      </c>
      <c r="B7" s="10" t="inlineStr">
        <is>
          <t>Nome do Processo *</t>
        </is>
      </c>
      <c r="C7" s="10" t="inlineStr">
        <is>
          <t>Objetivo (1 a 2 frases) *</t>
        </is>
      </c>
      <c r="D7" s="10" t="inlineStr">
        <is>
          <t>Escopo — o que o processo cobre *</t>
        </is>
      </c>
      <c r="E7" s="10" t="inlineStr">
        <is>
          <t>NÃO está no escopo *</t>
        </is>
      </c>
      <c r="F7" s="10" t="inlineStr">
        <is>
          <t>Entidades aplicáveis *</t>
        </is>
      </c>
      <c r="G7" s="10" t="inlineStr">
        <is>
          <t>Gestor do Processo (cargo) *</t>
        </is>
      </c>
      <c r="H7" s="10" t="inlineStr">
        <is>
          <t>Executor principal (cargo) *</t>
        </is>
      </c>
      <c r="I7" s="10" t="inlineStr">
        <is>
          <t>Aprovador (cargo) *</t>
        </is>
      </c>
      <c r="J7" s="10" t="inlineStr">
        <is>
          <t>Fornecedores — de quem recebe *</t>
        </is>
      </c>
      <c r="K7" s="10" t="inlineStr">
        <is>
          <t>Entradas — o que recebe *</t>
        </is>
      </c>
      <c r="L7" s="10" t="inlineStr">
        <is>
          <t>Saídas — o que entrega *</t>
        </is>
      </c>
      <c r="M7" s="10" t="inlineStr">
        <is>
          <t>Clientes — quem recebe a saída *</t>
        </is>
      </c>
      <c r="N7" s="10" t="inlineStr">
        <is>
          <t>Sistemas e ferramentas *</t>
        </is>
      </c>
      <c r="O7" s="10" t="inlineStr">
        <is>
          <t>Documentos de referência</t>
        </is>
      </c>
      <c r="P7" s="10" t="inlineStr">
        <is>
          <t>Competências necessárias</t>
        </is>
      </c>
      <c r="Q7" s="10" t="inlineStr">
        <is>
          <t>Treinamentos obrigatórios</t>
        </is>
      </c>
      <c r="R7" s="10" t="inlineStr">
        <is>
          <t>Frequência de execução *</t>
        </is>
      </c>
      <c r="S7" s="10" t="inlineStr">
        <is>
          <t>Volume médio mensal</t>
        </is>
      </c>
      <c r="T7" s="10" t="inlineStr">
        <is>
          <t>Registros e evidências gerados *</t>
        </is>
      </c>
      <c r="U7" s="10" t="inlineStr">
        <is>
          <t>Local de armazenamento *</t>
        </is>
      </c>
      <c r="V7" s="10" t="inlineStr">
        <is>
          <t>Retenção</t>
        </is>
      </c>
      <c r="W7" s="10" t="inlineStr">
        <is>
          <t>Envolve pagamento ou compromisso financeiro? *</t>
        </is>
      </c>
      <c r="X7" s="10" t="inlineStr">
        <is>
          <t>Prioridade para redação do POP *</t>
        </is>
      </c>
      <c r="Y7" s="10" t="inlineStr">
        <is>
          <t>Preenchido por *</t>
        </is>
      </c>
      <c r="Z7" s="10" t="inlineStr">
        <is>
          <t>Data do preenchimento *</t>
        </is>
      </c>
      <c r="AA7" s="10" t="inlineStr">
        <is>
          <t>Status *</t>
        </is>
      </c>
    </row>
    <row r="8" ht="30" customHeight="1">
      <c r="A8" s="11" t="inlineStr">
        <is>
          <t>SOC.01</t>
        </is>
      </c>
      <c r="B8" s="11" t="inlineStr">
        <is>
          <t>Veiculação de campanha de mídia paga</t>
        </is>
      </c>
      <c r="C8" s="11" t="inlineStr">
        <is>
          <t>Padronizar o planejamento, a veiculação e a conferência de campanhas de mídia paga, garantindo rastreabilidade da verba e do resultado.</t>
        </is>
      </c>
      <c r="D8" s="11" t="inlineStr">
        <is>
          <t>Do briefing aprovado até o relatório de fechamento da campanha.</t>
        </is>
      </c>
      <c r="E8" s="11" t="inlineStr">
        <is>
          <t>Negociação comercial com o cliente; emissão de nota fiscal.</t>
        </is>
      </c>
      <c r="F8" s="11" t="inlineStr">
        <is>
          <t>Vanguarda Martech</t>
        </is>
      </c>
      <c r="G8" s="11" t="inlineStr">
        <is>
          <t>Supervisor de Mídia Paga</t>
        </is>
      </c>
      <c r="H8" s="11" t="inlineStr">
        <is>
          <t>Analista de Mídia Paga</t>
        </is>
      </c>
      <c r="I8" s="11" t="inlineStr">
        <is>
          <t>Diretoria de Operações</t>
        </is>
      </c>
      <c r="J8" s="11" t="inlineStr">
        <is>
          <t>Account; Planejamento</t>
        </is>
      </c>
      <c r="K8" s="11" t="inlineStr">
        <is>
          <t>Briefing aprovado; verba liberada; peças aprovadas</t>
        </is>
      </c>
      <c r="L8" s="11" t="inlineStr">
        <is>
          <t>Campanha veiculada; relatório de performance</t>
        </is>
      </c>
      <c r="M8" s="11" t="inlineStr">
        <is>
          <t>Account; Cliente</t>
        </is>
      </c>
      <c r="N8" s="11" t="inlineStr">
        <is>
          <t>Google Ads; Meta Ads; Nekt; Power BI</t>
        </is>
      </c>
      <c r="O8" s="11" t="inlineStr">
        <is>
          <t>VAN-POP-FIN-004 (Controle de Verbas de Impulsionamento)</t>
        </is>
      </c>
      <c r="P8" s="11" t="inlineStr">
        <is>
          <t>Gestão de campanhas; leitura de métricas; Excel intermediário</t>
        </is>
      </c>
      <c r="Q8" s="11" t="inlineStr">
        <is>
          <t>Google Ads Certification; LGPD</t>
        </is>
      </c>
      <c r="R8" s="11" t="inlineStr">
        <is>
          <t>Diária</t>
        </is>
      </c>
      <c r="S8" s="11" t="n">
        <v>45</v>
      </c>
      <c r="T8" s="11" t="inlineStr">
        <is>
          <t>Print de veiculação; relatório mensal; PI assinado</t>
        </is>
      </c>
      <c r="U8" s="11" t="inlineStr">
        <is>
          <t>Google Drive — SGQ/Mídia</t>
        </is>
      </c>
      <c r="V8" s="11" t="inlineStr">
        <is>
          <t>5 anos</t>
        </is>
      </c>
      <c r="W8" s="11" t="inlineStr">
        <is>
          <t>Sim</t>
        </is>
      </c>
      <c r="X8" s="11" t="inlineStr">
        <is>
          <t>Alta</t>
        </is>
      </c>
      <c r="Y8" s="11" t="inlineStr">
        <is>
          <t>(quem preencheu)</t>
        </is>
      </c>
      <c r="Z8" s="11" t="inlineStr">
        <is>
          <t>11/09/2026</t>
        </is>
      </c>
      <c r="AA8" s="11" t="inlineStr">
        <is>
          <t>Não iniciado</t>
        </is>
      </c>
    </row>
    <row r="9" ht="30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3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30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30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30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30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30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30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30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30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30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30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30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</row>
    <row r="34" ht="3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30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</row>
    <row r="36" ht="3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30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</row>
    <row r="38" ht="3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30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</row>
    <row r="40" ht="3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30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</row>
    <row r="42" ht="3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30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</row>
    <row r="44" ht="3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30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</row>
    <row r="46" ht="3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30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</row>
    <row r="48" ht="3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30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</row>
    <row r="50" ht="3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30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</row>
    <row r="52" ht="3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30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</row>
    <row r="54" ht="3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30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</row>
    <row r="56" ht="3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30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</row>
    <row r="58" ht="3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30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</row>
    <row r="60" ht="3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30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</row>
    <row r="62" ht="3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30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</row>
    <row r="64" ht="3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30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</row>
    <row r="66" ht="3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30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</row>
  </sheetData>
  <mergeCells count="4">
    <mergeCell ref="A3:L3"/>
    <mergeCell ref="A2:L2"/>
    <mergeCell ref="A1:L1"/>
    <mergeCell ref="A5:L5"/>
  </mergeCells>
  <dataValidations count="6">
    <dataValidation sqref="F8:F67" showDropDown="0" showInputMessage="0" showErrorMessage="0" allowBlank="1" type="list">
      <formula1>=Listas!$A$5:$A$9</formula1>
    </dataValidation>
    <dataValidation sqref="R8:R67" showDropDown="0" showInputMessage="0" showErrorMessage="0" allowBlank="1" type="list">
      <formula1>=Listas!$B$5:$B$12</formula1>
    </dataValidation>
    <dataValidation sqref="V8:V67" showDropDown="0" showInputMessage="0" showErrorMessage="0" allowBlank="1" type="list">
      <formula1>=Listas!$C$5:$C$8</formula1>
    </dataValidation>
    <dataValidation sqref="W8:W67" showDropDown="0" showInputMessage="0" showErrorMessage="0" allowBlank="1" type="list">
      <formula1>=Listas!$D$5:$D$6</formula1>
    </dataValidation>
    <dataValidation sqref="X8:X67" showDropDown="0" showInputMessage="0" showErrorMessage="0" allowBlank="1" type="list">
      <formula1>=Listas!$E$5:$E$7</formula1>
    </dataValidation>
    <dataValidation sqref="AA8:AA67" showDropDown="0" showInputMessage="0" showErrorMessage="0" allowBlank="1" type="list">
      <formula1>=Listas!$F$5:$F$8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32" customWidth="1" min="5" max="5"/>
    <col width="22" customWidth="1" min="6" max="6"/>
    <col width="24" customWidth="1" min="7" max="7"/>
    <col width="24" customWidth="1" min="8" max="8"/>
    <col width="22" customWidth="1" min="9" max="9"/>
    <col width="28" customWidth="1" min="10" max="10"/>
    <col width="30" customWidth="1" min="11" max="11"/>
    <col width="30" customWidth="1" min="12" max="12"/>
    <col width="28" customWidth="1" min="13" max="13"/>
    <col width="26" customWidth="1" min="14" max="14"/>
    <col width="26" customWidth="1" min="15" max="15"/>
    <col width="28" customWidth="1" min="16" max="16"/>
    <col width="26" customWidth="1" min="17" max="17"/>
    <col width="20" customWidth="1" min="18" max="18"/>
    <col width="16" customWidth="1" min="19" max="19"/>
    <col width="30" customWidth="1" min="20" max="20"/>
    <col width="24" customWidth="1" min="21" max="21"/>
    <col width="16" customWidth="1" min="22" max="22"/>
    <col width="20" customWidth="1" min="23" max="23"/>
    <col width="18" customWidth="1" min="24" max="24"/>
    <col width="20" customWidth="1" min="25" max="25"/>
    <col width="16" customWidth="1" min="26" max="26"/>
    <col width="16" customWidth="1" min="27" max="27"/>
  </cols>
  <sheetData>
    <row r="1">
      <c r="A1" s="7" t="inlineStr">
        <is>
          <t>Mapeamento de Processos — Financeiro / Controladoria</t>
        </is>
      </c>
    </row>
    <row r="2">
      <c r="A2" s="2" t="inlineStr">
        <is>
          <t>VAN-FOR-SGQ-001  |  Versão 1.0  |  Emissão 11/09/2026  |  SGQ Vanguarda (VAN-QUAL-001)  |  CONFIDENCIAL</t>
        </is>
      </c>
    </row>
    <row r="3">
      <c r="A3" s="2" t="inlineStr">
        <is>
          <t>Setor: Financeiro / Controladoria   |   Código de área SGQ: FIN   |   Prefixo dos processos: FIN.NN</t>
        </is>
      </c>
    </row>
    <row r="5" ht="30" customHeight="1">
      <c r="A5" s="8" t="inlineStr">
        <is>
          <t>COMO PREENCHER: escreva a partir da linha 9. A linha 8, em amarelo, é EXEMPLO — apague-a ou sobrescreva-a. Colunas com (*) são obrigatórias. Células em verde são calculadas automaticamente: não digite nelas.</t>
        </is>
      </c>
    </row>
    <row r="6">
      <c r="A6" s="9" t="inlineStr">
        <is>
          <t>Cabeçalho</t>
        </is>
      </c>
      <c r="B6" s="9" t="inlineStr">
        <is>
          <t>Cabeçalho</t>
        </is>
      </c>
      <c r="C6" s="9" t="inlineStr">
        <is>
          <t>§1 Objetivo</t>
        </is>
      </c>
      <c r="D6" s="9" t="inlineStr">
        <is>
          <t>§2 Escopo</t>
        </is>
      </c>
      <c r="E6" s="9" t="inlineStr">
        <is>
          <t>§2 Escopo</t>
        </is>
      </c>
      <c r="F6" s="9" t="inlineStr">
        <is>
          <t>§2 Escopo</t>
        </is>
      </c>
      <c r="G6" s="9" t="inlineStr">
        <is>
          <t>Cabeçalho</t>
        </is>
      </c>
      <c r="H6" s="9" t="inlineStr">
        <is>
          <t>§5 RACI</t>
        </is>
      </c>
      <c r="I6" s="9" t="inlineStr">
        <is>
          <t>§5 RACI</t>
        </is>
      </c>
      <c r="J6" s="9" t="inlineStr">
        <is>
          <t>§6 SIPOC</t>
        </is>
      </c>
      <c r="K6" s="9" t="inlineStr">
        <is>
          <t>§6 SIPOC</t>
        </is>
      </c>
      <c r="L6" s="9" t="inlineStr">
        <is>
          <t>§6 SIPOC</t>
        </is>
      </c>
      <c r="M6" s="9" t="inlineStr">
        <is>
          <t>§6 SIPOC</t>
        </is>
      </c>
      <c r="N6" s="9" t="inlineStr">
        <is>
          <t>§7 Recursos</t>
        </is>
      </c>
      <c r="O6" s="9" t="inlineStr">
        <is>
          <t>§7 Recursos</t>
        </is>
      </c>
      <c r="P6" s="9" t="inlineStr">
        <is>
          <t>§8 Competências</t>
        </is>
      </c>
      <c r="Q6" s="9" t="inlineStr">
        <is>
          <t>§8 Competências</t>
        </is>
      </c>
      <c r="R6" s="9" t="inlineStr">
        <is>
          <t>§9 Processo</t>
        </is>
      </c>
      <c r="S6" s="9" t="inlineStr">
        <is>
          <t>§10 KPIs</t>
        </is>
      </c>
      <c r="T6" s="9" t="inlineStr">
        <is>
          <t>§14 Registros</t>
        </is>
      </c>
      <c r="U6" s="9" t="inlineStr">
        <is>
          <t>§14 Registros</t>
        </is>
      </c>
      <c r="V6" s="9" t="inlineStr">
        <is>
          <t>§14 Registros</t>
        </is>
      </c>
      <c r="W6" s="9" t="inlineStr">
        <is>
          <t>§5 RACI</t>
        </is>
      </c>
      <c r="X6" s="9" t="inlineStr">
        <is>
          <t>Planejamento</t>
        </is>
      </c>
      <c r="Y6" s="9" t="inlineStr">
        <is>
          <t>Controle</t>
        </is>
      </c>
      <c r="Z6" s="9" t="inlineStr">
        <is>
          <t>Controle</t>
        </is>
      </c>
      <c r="AA6" s="9" t="inlineStr">
        <is>
          <t>Controle</t>
        </is>
      </c>
    </row>
    <row r="7" ht="42" customHeight="1">
      <c r="A7" s="10" t="inlineStr">
        <is>
          <t>Código do Processo *</t>
        </is>
      </c>
      <c r="B7" s="10" t="inlineStr">
        <is>
          <t>Nome do Processo *</t>
        </is>
      </c>
      <c r="C7" s="10" t="inlineStr">
        <is>
          <t>Objetivo (1 a 2 frases) *</t>
        </is>
      </c>
      <c r="D7" s="10" t="inlineStr">
        <is>
          <t>Escopo — o que o processo cobre *</t>
        </is>
      </c>
      <c r="E7" s="10" t="inlineStr">
        <is>
          <t>NÃO está no escopo *</t>
        </is>
      </c>
      <c r="F7" s="10" t="inlineStr">
        <is>
          <t>Entidades aplicáveis *</t>
        </is>
      </c>
      <c r="G7" s="10" t="inlineStr">
        <is>
          <t>Gestor do Processo (cargo) *</t>
        </is>
      </c>
      <c r="H7" s="10" t="inlineStr">
        <is>
          <t>Executor principal (cargo) *</t>
        </is>
      </c>
      <c r="I7" s="10" t="inlineStr">
        <is>
          <t>Aprovador (cargo) *</t>
        </is>
      </c>
      <c r="J7" s="10" t="inlineStr">
        <is>
          <t>Fornecedores — de quem recebe *</t>
        </is>
      </c>
      <c r="K7" s="10" t="inlineStr">
        <is>
          <t>Entradas — o que recebe *</t>
        </is>
      </c>
      <c r="L7" s="10" t="inlineStr">
        <is>
          <t>Saídas — o que entrega *</t>
        </is>
      </c>
      <c r="M7" s="10" t="inlineStr">
        <is>
          <t>Clientes — quem recebe a saída *</t>
        </is>
      </c>
      <c r="N7" s="10" t="inlineStr">
        <is>
          <t>Sistemas e ferramentas *</t>
        </is>
      </c>
      <c r="O7" s="10" t="inlineStr">
        <is>
          <t>Documentos de referência</t>
        </is>
      </c>
      <c r="P7" s="10" t="inlineStr">
        <is>
          <t>Competências necessárias</t>
        </is>
      </c>
      <c r="Q7" s="10" t="inlineStr">
        <is>
          <t>Treinamentos obrigatórios</t>
        </is>
      </c>
      <c r="R7" s="10" t="inlineStr">
        <is>
          <t>Frequência de execução *</t>
        </is>
      </c>
      <c r="S7" s="10" t="inlineStr">
        <is>
          <t>Volume médio mensal</t>
        </is>
      </c>
      <c r="T7" s="10" t="inlineStr">
        <is>
          <t>Registros e evidências gerados *</t>
        </is>
      </c>
      <c r="U7" s="10" t="inlineStr">
        <is>
          <t>Local de armazenamento *</t>
        </is>
      </c>
      <c r="V7" s="10" t="inlineStr">
        <is>
          <t>Retenção</t>
        </is>
      </c>
      <c r="W7" s="10" t="inlineStr">
        <is>
          <t>Envolve pagamento ou compromisso financeiro? *</t>
        </is>
      </c>
      <c r="X7" s="10" t="inlineStr">
        <is>
          <t>Prioridade para redação do POP *</t>
        </is>
      </c>
      <c r="Y7" s="10" t="inlineStr">
        <is>
          <t>Preenchido por *</t>
        </is>
      </c>
      <c r="Z7" s="10" t="inlineStr">
        <is>
          <t>Data do preenchimento *</t>
        </is>
      </c>
      <c r="AA7" s="10" t="inlineStr">
        <is>
          <t>Status *</t>
        </is>
      </c>
    </row>
    <row r="8" ht="30" customHeight="1">
      <c r="A8" s="11" t="inlineStr">
        <is>
          <t>FIN.01</t>
        </is>
      </c>
      <c r="B8" s="11" t="inlineStr">
        <is>
          <t>Veiculação de campanha de mídia paga</t>
        </is>
      </c>
      <c r="C8" s="11" t="inlineStr">
        <is>
          <t>Padronizar o planejamento, a veiculação e a conferência de campanhas de mídia paga, garantindo rastreabilidade da verba e do resultado.</t>
        </is>
      </c>
      <c r="D8" s="11" t="inlineStr">
        <is>
          <t>Do briefing aprovado até o relatório de fechamento da campanha.</t>
        </is>
      </c>
      <c r="E8" s="11" t="inlineStr">
        <is>
          <t>Negociação comercial com o cliente; emissão de nota fiscal.</t>
        </is>
      </c>
      <c r="F8" s="11" t="inlineStr">
        <is>
          <t>Vanguarda Martech</t>
        </is>
      </c>
      <c r="G8" s="11" t="inlineStr">
        <is>
          <t>Supervisor de Mídia Paga</t>
        </is>
      </c>
      <c r="H8" s="11" t="inlineStr">
        <is>
          <t>Analista de Mídia Paga</t>
        </is>
      </c>
      <c r="I8" s="11" t="inlineStr">
        <is>
          <t>Diretoria de Operações</t>
        </is>
      </c>
      <c r="J8" s="11" t="inlineStr">
        <is>
          <t>Account; Planejamento</t>
        </is>
      </c>
      <c r="K8" s="11" t="inlineStr">
        <is>
          <t>Briefing aprovado; verba liberada; peças aprovadas</t>
        </is>
      </c>
      <c r="L8" s="11" t="inlineStr">
        <is>
          <t>Campanha veiculada; relatório de performance</t>
        </is>
      </c>
      <c r="M8" s="11" t="inlineStr">
        <is>
          <t>Account; Cliente</t>
        </is>
      </c>
      <c r="N8" s="11" t="inlineStr">
        <is>
          <t>Google Ads; Meta Ads; Nekt; Power BI</t>
        </is>
      </c>
      <c r="O8" s="11" t="inlineStr">
        <is>
          <t>VAN-POP-FIN-004 (Controle de Verbas de Impulsionamento)</t>
        </is>
      </c>
      <c r="P8" s="11" t="inlineStr">
        <is>
          <t>Gestão de campanhas; leitura de métricas; Excel intermediário</t>
        </is>
      </c>
      <c r="Q8" s="11" t="inlineStr">
        <is>
          <t>Google Ads Certification; LGPD</t>
        </is>
      </c>
      <c r="R8" s="11" t="inlineStr">
        <is>
          <t>Diária</t>
        </is>
      </c>
      <c r="S8" s="11" t="n">
        <v>45</v>
      </c>
      <c r="T8" s="11" t="inlineStr">
        <is>
          <t>Print de veiculação; relatório mensal; PI assinado</t>
        </is>
      </c>
      <c r="U8" s="11" t="inlineStr">
        <is>
          <t>Google Drive — SGQ/Mídia</t>
        </is>
      </c>
      <c r="V8" s="11" t="inlineStr">
        <is>
          <t>5 anos</t>
        </is>
      </c>
      <c r="W8" s="11" t="inlineStr">
        <is>
          <t>Sim</t>
        </is>
      </c>
      <c r="X8" s="11" t="inlineStr">
        <is>
          <t>Alta</t>
        </is>
      </c>
      <c r="Y8" s="11" t="inlineStr">
        <is>
          <t>(quem preencheu)</t>
        </is>
      </c>
      <c r="Z8" s="11" t="inlineStr">
        <is>
          <t>11/09/2026</t>
        </is>
      </c>
      <c r="AA8" s="11" t="inlineStr">
        <is>
          <t>Não iniciado</t>
        </is>
      </c>
    </row>
    <row r="9" ht="30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3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30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30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30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30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30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30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30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30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30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30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30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</row>
    <row r="34" ht="3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30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</row>
    <row r="36" ht="3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30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</row>
    <row r="38" ht="3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30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</row>
    <row r="40" ht="3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30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</row>
    <row r="42" ht="3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30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</row>
    <row r="44" ht="3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30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</row>
    <row r="46" ht="3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30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</row>
    <row r="48" ht="3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30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</row>
    <row r="50" ht="3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30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</row>
    <row r="52" ht="3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30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</row>
    <row r="54" ht="3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30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</row>
    <row r="56" ht="3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30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</row>
    <row r="58" ht="3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30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</row>
    <row r="60" ht="3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30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</row>
    <row r="62" ht="3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30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</row>
    <row r="64" ht="3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30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</row>
    <row r="66" ht="3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30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</row>
  </sheetData>
  <mergeCells count="4">
    <mergeCell ref="A3:L3"/>
    <mergeCell ref="A2:L2"/>
    <mergeCell ref="A1:L1"/>
    <mergeCell ref="A5:L5"/>
  </mergeCells>
  <dataValidations count="6">
    <dataValidation sqref="F8:F67" showDropDown="0" showInputMessage="0" showErrorMessage="0" allowBlank="1" type="list">
      <formula1>=Listas!$A$5:$A$9</formula1>
    </dataValidation>
    <dataValidation sqref="R8:R67" showDropDown="0" showInputMessage="0" showErrorMessage="0" allowBlank="1" type="list">
      <formula1>=Listas!$B$5:$B$12</formula1>
    </dataValidation>
    <dataValidation sqref="V8:V67" showDropDown="0" showInputMessage="0" showErrorMessage="0" allowBlank="1" type="list">
      <formula1>=Listas!$C$5:$C$8</formula1>
    </dataValidation>
    <dataValidation sqref="W8:W67" showDropDown="0" showInputMessage="0" showErrorMessage="0" allowBlank="1" type="list">
      <formula1>=Listas!$D$5:$D$6</formula1>
    </dataValidation>
    <dataValidation sqref="X8:X67" showDropDown="0" showInputMessage="0" showErrorMessage="0" allowBlank="1" type="list">
      <formula1>=Listas!$E$5:$E$7</formula1>
    </dataValidation>
    <dataValidation sqref="AA8:AA67" showDropDown="0" showInputMessage="0" showErrorMessage="0" allowBlank="1" type="list">
      <formula1>=Listas!$F$5:$F$8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32" customWidth="1" min="5" max="5"/>
    <col width="22" customWidth="1" min="6" max="6"/>
    <col width="24" customWidth="1" min="7" max="7"/>
    <col width="24" customWidth="1" min="8" max="8"/>
    <col width="22" customWidth="1" min="9" max="9"/>
    <col width="28" customWidth="1" min="10" max="10"/>
    <col width="30" customWidth="1" min="11" max="11"/>
    <col width="30" customWidth="1" min="12" max="12"/>
    <col width="28" customWidth="1" min="13" max="13"/>
    <col width="26" customWidth="1" min="14" max="14"/>
    <col width="26" customWidth="1" min="15" max="15"/>
    <col width="28" customWidth="1" min="16" max="16"/>
    <col width="26" customWidth="1" min="17" max="17"/>
    <col width="20" customWidth="1" min="18" max="18"/>
    <col width="16" customWidth="1" min="19" max="19"/>
    <col width="30" customWidth="1" min="20" max="20"/>
    <col width="24" customWidth="1" min="21" max="21"/>
    <col width="16" customWidth="1" min="22" max="22"/>
    <col width="20" customWidth="1" min="23" max="23"/>
    <col width="18" customWidth="1" min="24" max="24"/>
    <col width="20" customWidth="1" min="25" max="25"/>
    <col width="16" customWidth="1" min="26" max="26"/>
    <col width="16" customWidth="1" min="27" max="27"/>
  </cols>
  <sheetData>
    <row r="1">
      <c r="A1" s="7" t="inlineStr">
        <is>
          <t>Mapeamento de Processos — Planejamento, Estratégia e Inovação</t>
        </is>
      </c>
    </row>
    <row r="2">
      <c r="A2" s="2" t="inlineStr">
        <is>
          <t>VAN-FOR-SGQ-001  |  Versão 1.0  |  Emissão 11/09/2026  |  SGQ Vanguarda (VAN-QUAL-001)  |  CONFIDENCIAL</t>
        </is>
      </c>
    </row>
    <row r="3">
      <c r="A3" s="2" t="inlineStr">
        <is>
          <t>Setor: Planejamento, Estratégia e Inovação   |   Código de área SGQ: EST*   |   Prefixo dos processos: PEI.NN   |   ATENÇÃO: codigo EST proposto, pendente de validação da Qualidade</t>
        </is>
      </c>
    </row>
    <row r="5" ht="30" customHeight="1">
      <c r="A5" s="8" t="inlineStr">
        <is>
          <t>COMO PREENCHER: escreva a partir da linha 9. A linha 8, em amarelo, é EXEMPLO — apague-a ou sobrescreva-a. Colunas com (*) são obrigatórias. Células em verde são calculadas automaticamente: não digite nelas.</t>
        </is>
      </c>
    </row>
    <row r="6">
      <c r="A6" s="9" t="inlineStr">
        <is>
          <t>Cabeçalho</t>
        </is>
      </c>
      <c r="B6" s="9" t="inlineStr">
        <is>
          <t>Cabeçalho</t>
        </is>
      </c>
      <c r="C6" s="9" t="inlineStr">
        <is>
          <t>§1 Objetivo</t>
        </is>
      </c>
      <c r="D6" s="9" t="inlineStr">
        <is>
          <t>§2 Escopo</t>
        </is>
      </c>
      <c r="E6" s="9" t="inlineStr">
        <is>
          <t>§2 Escopo</t>
        </is>
      </c>
      <c r="F6" s="9" t="inlineStr">
        <is>
          <t>§2 Escopo</t>
        </is>
      </c>
      <c r="G6" s="9" t="inlineStr">
        <is>
          <t>Cabeçalho</t>
        </is>
      </c>
      <c r="H6" s="9" t="inlineStr">
        <is>
          <t>§5 RACI</t>
        </is>
      </c>
      <c r="I6" s="9" t="inlineStr">
        <is>
          <t>§5 RACI</t>
        </is>
      </c>
      <c r="J6" s="9" t="inlineStr">
        <is>
          <t>§6 SIPOC</t>
        </is>
      </c>
      <c r="K6" s="9" t="inlineStr">
        <is>
          <t>§6 SIPOC</t>
        </is>
      </c>
      <c r="L6" s="9" t="inlineStr">
        <is>
          <t>§6 SIPOC</t>
        </is>
      </c>
      <c r="M6" s="9" t="inlineStr">
        <is>
          <t>§6 SIPOC</t>
        </is>
      </c>
      <c r="N6" s="9" t="inlineStr">
        <is>
          <t>§7 Recursos</t>
        </is>
      </c>
      <c r="O6" s="9" t="inlineStr">
        <is>
          <t>§7 Recursos</t>
        </is>
      </c>
      <c r="P6" s="9" t="inlineStr">
        <is>
          <t>§8 Competências</t>
        </is>
      </c>
      <c r="Q6" s="9" t="inlineStr">
        <is>
          <t>§8 Competências</t>
        </is>
      </c>
      <c r="R6" s="9" t="inlineStr">
        <is>
          <t>§9 Processo</t>
        </is>
      </c>
      <c r="S6" s="9" t="inlineStr">
        <is>
          <t>§10 KPIs</t>
        </is>
      </c>
      <c r="T6" s="9" t="inlineStr">
        <is>
          <t>§14 Registros</t>
        </is>
      </c>
      <c r="U6" s="9" t="inlineStr">
        <is>
          <t>§14 Registros</t>
        </is>
      </c>
      <c r="V6" s="9" t="inlineStr">
        <is>
          <t>§14 Registros</t>
        </is>
      </c>
      <c r="W6" s="9" t="inlineStr">
        <is>
          <t>§5 RACI</t>
        </is>
      </c>
      <c r="X6" s="9" t="inlineStr">
        <is>
          <t>Planejamento</t>
        </is>
      </c>
      <c r="Y6" s="9" t="inlineStr">
        <is>
          <t>Controle</t>
        </is>
      </c>
      <c r="Z6" s="9" t="inlineStr">
        <is>
          <t>Controle</t>
        </is>
      </c>
      <c r="AA6" s="9" t="inlineStr">
        <is>
          <t>Controle</t>
        </is>
      </c>
    </row>
    <row r="7" ht="42" customHeight="1">
      <c r="A7" s="10" t="inlineStr">
        <is>
          <t>Código do Processo *</t>
        </is>
      </c>
      <c r="B7" s="10" t="inlineStr">
        <is>
          <t>Nome do Processo *</t>
        </is>
      </c>
      <c r="C7" s="10" t="inlineStr">
        <is>
          <t>Objetivo (1 a 2 frases) *</t>
        </is>
      </c>
      <c r="D7" s="10" t="inlineStr">
        <is>
          <t>Escopo — o que o processo cobre *</t>
        </is>
      </c>
      <c r="E7" s="10" t="inlineStr">
        <is>
          <t>NÃO está no escopo *</t>
        </is>
      </c>
      <c r="F7" s="10" t="inlineStr">
        <is>
          <t>Entidades aplicáveis *</t>
        </is>
      </c>
      <c r="G7" s="10" t="inlineStr">
        <is>
          <t>Gestor do Processo (cargo) *</t>
        </is>
      </c>
      <c r="H7" s="10" t="inlineStr">
        <is>
          <t>Executor principal (cargo) *</t>
        </is>
      </c>
      <c r="I7" s="10" t="inlineStr">
        <is>
          <t>Aprovador (cargo) *</t>
        </is>
      </c>
      <c r="J7" s="10" t="inlineStr">
        <is>
          <t>Fornecedores — de quem recebe *</t>
        </is>
      </c>
      <c r="K7" s="10" t="inlineStr">
        <is>
          <t>Entradas — o que recebe *</t>
        </is>
      </c>
      <c r="L7" s="10" t="inlineStr">
        <is>
          <t>Saídas — o que entrega *</t>
        </is>
      </c>
      <c r="M7" s="10" t="inlineStr">
        <is>
          <t>Clientes — quem recebe a saída *</t>
        </is>
      </c>
      <c r="N7" s="10" t="inlineStr">
        <is>
          <t>Sistemas e ferramentas *</t>
        </is>
      </c>
      <c r="O7" s="10" t="inlineStr">
        <is>
          <t>Documentos de referência</t>
        </is>
      </c>
      <c r="P7" s="10" t="inlineStr">
        <is>
          <t>Competências necessárias</t>
        </is>
      </c>
      <c r="Q7" s="10" t="inlineStr">
        <is>
          <t>Treinamentos obrigatórios</t>
        </is>
      </c>
      <c r="R7" s="10" t="inlineStr">
        <is>
          <t>Frequência de execução *</t>
        </is>
      </c>
      <c r="S7" s="10" t="inlineStr">
        <is>
          <t>Volume médio mensal</t>
        </is>
      </c>
      <c r="T7" s="10" t="inlineStr">
        <is>
          <t>Registros e evidências gerados *</t>
        </is>
      </c>
      <c r="U7" s="10" t="inlineStr">
        <is>
          <t>Local de armazenamento *</t>
        </is>
      </c>
      <c r="V7" s="10" t="inlineStr">
        <is>
          <t>Retenção</t>
        </is>
      </c>
      <c r="W7" s="10" t="inlineStr">
        <is>
          <t>Envolve pagamento ou compromisso financeiro? *</t>
        </is>
      </c>
      <c r="X7" s="10" t="inlineStr">
        <is>
          <t>Prioridade para redação do POP *</t>
        </is>
      </c>
      <c r="Y7" s="10" t="inlineStr">
        <is>
          <t>Preenchido por *</t>
        </is>
      </c>
      <c r="Z7" s="10" t="inlineStr">
        <is>
          <t>Data do preenchimento *</t>
        </is>
      </c>
      <c r="AA7" s="10" t="inlineStr">
        <is>
          <t>Status *</t>
        </is>
      </c>
    </row>
    <row r="8" ht="30" customHeight="1">
      <c r="A8" s="11" t="inlineStr">
        <is>
          <t>PEI.01</t>
        </is>
      </c>
      <c r="B8" s="11" t="inlineStr">
        <is>
          <t>Veiculação de campanha de mídia paga</t>
        </is>
      </c>
      <c r="C8" s="11" t="inlineStr">
        <is>
          <t>Padronizar o planejamento, a veiculação e a conferência de campanhas de mídia paga, garantindo rastreabilidade da verba e do resultado.</t>
        </is>
      </c>
      <c r="D8" s="11" t="inlineStr">
        <is>
          <t>Do briefing aprovado até o relatório de fechamento da campanha.</t>
        </is>
      </c>
      <c r="E8" s="11" t="inlineStr">
        <is>
          <t>Negociação comercial com o cliente; emissão de nota fiscal.</t>
        </is>
      </c>
      <c r="F8" s="11" t="inlineStr">
        <is>
          <t>Vanguarda Martech</t>
        </is>
      </c>
      <c r="G8" s="11" t="inlineStr">
        <is>
          <t>Supervisor de Mídia Paga</t>
        </is>
      </c>
      <c r="H8" s="11" t="inlineStr">
        <is>
          <t>Analista de Mídia Paga</t>
        </is>
      </c>
      <c r="I8" s="11" t="inlineStr">
        <is>
          <t>Diretoria de Operações</t>
        </is>
      </c>
      <c r="J8" s="11" t="inlineStr">
        <is>
          <t>Account; Planejamento</t>
        </is>
      </c>
      <c r="K8" s="11" t="inlineStr">
        <is>
          <t>Briefing aprovado; verba liberada; peças aprovadas</t>
        </is>
      </c>
      <c r="L8" s="11" t="inlineStr">
        <is>
          <t>Campanha veiculada; relatório de performance</t>
        </is>
      </c>
      <c r="M8" s="11" t="inlineStr">
        <is>
          <t>Account; Cliente</t>
        </is>
      </c>
      <c r="N8" s="11" t="inlineStr">
        <is>
          <t>Google Ads; Meta Ads; Nekt; Power BI</t>
        </is>
      </c>
      <c r="O8" s="11" t="inlineStr">
        <is>
          <t>VAN-POP-FIN-004 (Controle de Verbas de Impulsionamento)</t>
        </is>
      </c>
      <c r="P8" s="11" t="inlineStr">
        <is>
          <t>Gestão de campanhas; leitura de métricas; Excel intermediário</t>
        </is>
      </c>
      <c r="Q8" s="11" t="inlineStr">
        <is>
          <t>Google Ads Certification; LGPD</t>
        </is>
      </c>
      <c r="R8" s="11" t="inlineStr">
        <is>
          <t>Diária</t>
        </is>
      </c>
      <c r="S8" s="11" t="n">
        <v>45</v>
      </c>
      <c r="T8" s="11" t="inlineStr">
        <is>
          <t>Print de veiculação; relatório mensal; PI assinado</t>
        </is>
      </c>
      <c r="U8" s="11" t="inlineStr">
        <is>
          <t>Google Drive — SGQ/Mídia</t>
        </is>
      </c>
      <c r="V8" s="11" t="inlineStr">
        <is>
          <t>5 anos</t>
        </is>
      </c>
      <c r="W8" s="11" t="inlineStr">
        <is>
          <t>Sim</t>
        </is>
      </c>
      <c r="X8" s="11" t="inlineStr">
        <is>
          <t>Alta</t>
        </is>
      </c>
      <c r="Y8" s="11" t="inlineStr">
        <is>
          <t>(quem preencheu)</t>
        </is>
      </c>
      <c r="Z8" s="11" t="inlineStr">
        <is>
          <t>11/09/2026</t>
        </is>
      </c>
      <c r="AA8" s="11" t="inlineStr">
        <is>
          <t>Não iniciado</t>
        </is>
      </c>
    </row>
    <row r="9" ht="30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3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30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30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30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30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30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30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30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30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30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30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30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</row>
    <row r="34" ht="3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30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</row>
    <row r="36" ht="3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30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</row>
    <row r="38" ht="3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30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</row>
    <row r="40" ht="3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30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</row>
    <row r="42" ht="3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30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</row>
    <row r="44" ht="3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30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</row>
    <row r="46" ht="3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30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</row>
    <row r="48" ht="3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30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</row>
    <row r="50" ht="3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30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</row>
    <row r="52" ht="3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30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</row>
    <row r="54" ht="3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30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</row>
    <row r="56" ht="3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30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</row>
    <row r="58" ht="3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30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</row>
    <row r="60" ht="3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30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</row>
    <row r="62" ht="3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30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</row>
    <row r="64" ht="3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30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</row>
    <row r="66" ht="3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30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</row>
  </sheetData>
  <mergeCells count="4">
    <mergeCell ref="A3:L3"/>
    <mergeCell ref="A2:L2"/>
    <mergeCell ref="A1:L1"/>
    <mergeCell ref="A5:L5"/>
  </mergeCells>
  <dataValidations count="6">
    <dataValidation sqref="F8:F67" showDropDown="0" showInputMessage="0" showErrorMessage="0" allowBlank="1" type="list">
      <formula1>=Listas!$A$5:$A$9</formula1>
    </dataValidation>
    <dataValidation sqref="R8:R67" showDropDown="0" showInputMessage="0" showErrorMessage="0" allowBlank="1" type="list">
      <formula1>=Listas!$B$5:$B$12</formula1>
    </dataValidation>
    <dataValidation sqref="V8:V67" showDropDown="0" showInputMessage="0" showErrorMessage="0" allowBlank="1" type="list">
      <formula1>=Listas!$C$5:$C$8</formula1>
    </dataValidation>
    <dataValidation sqref="W8:W67" showDropDown="0" showInputMessage="0" showErrorMessage="0" allowBlank="1" type="list">
      <formula1>=Listas!$D$5:$D$6</formula1>
    </dataValidation>
    <dataValidation sqref="X8:X67" showDropDown="0" showInputMessage="0" showErrorMessage="0" allowBlank="1" type="list">
      <formula1>=Listas!$E$5:$E$7</formula1>
    </dataValidation>
    <dataValidation sqref="AA8:AA67" showDropDown="0" showInputMessage="0" showErrorMessage="0" allowBlank="1" type="list">
      <formula1>=Listas!$F$5:$F$8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0" customWidth="1" min="4" max="4"/>
    <col width="46" customWidth="1" min="5" max="5"/>
    <col width="24" customWidth="1" min="6" max="6"/>
    <col width="22" customWidth="1" min="7" max="7"/>
    <col width="26" customWidth="1" min="8" max="8"/>
    <col width="14" customWidth="1" min="9" max="9"/>
    <col width="14" customWidth="1" min="10" max="10"/>
    <col width="28" customWidth="1" min="11" max="11"/>
  </cols>
  <sheetData>
    <row r="1">
      <c r="A1" s="7" t="inlineStr">
        <is>
          <t>Etapas dos Processos (§9.1 e fluxo BPMN)</t>
        </is>
      </c>
    </row>
    <row r="2">
      <c r="A2" s="2" t="inlineStr">
        <is>
          <t>VAN-FOR-SGQ-001  |  Versão 1.0  |  Emissão 11/09/2026  |  SGQ Vanguarda (VAN-QUAL-001)  |  CONFIDENCIAL</t>
        </is>
      </c>
    </row>
    <row r="3">
      <c r="A3" s="2" t="inlineStr">
        <is>
          <t>Uma linha por etapa. As etapas viram a descrição detalhada do POP e os elementos do diagrama BPMN — ordem e responsável definem as raias.</t>
        </is>
      </c>
    </row>
    <row r="5" ht="30" customHeight="1">
      <c r="A5" s="8" t="inlineStr">
        <is>
          <t>COMO PREENCHER: escreva a partir da linha 9. A linha 8, em amarelo, é EXEMPLO — apague-a ou sobrescreva-a. Colunas com (*) são obrigatórias. Células em verde são calculadas automaticamente: não digite nelas.</t>
        </is>
      </c>
    </row>
    <row r="6">
      <c r="C6" s="9" t="inlineStr">
        <is>
          <t>iClips, Conexa, etc.</t>
        </is>
      </c>
      <c r="E6" s="9" t="inlineStr">
        <is>
          <t>o que é feito</t>
        </is>
      </c>
      <c r="J6" s="9" t="inlineStr">
        <is>
          <t>vira gateway no BPMN</t>
        </is>
      </c>
      <c r="K6" s="9" t="inlineStr">
        <is>
          <t>se sim</t>
        </is>
      </c>
    </row>
    <row r="7" ht="42" customHeight="1">
      <c r="A7" s="10" t="inlineStr">
        <is>
          <t>Setor *</t>
        </is>
      </c>
      <c r="B7" s="10" t="inlineStr">
        <is>
          <t>Código do Processo *</t>
        </is>
      </c>
      <c r="C7" s="10" t="inlineStr">
        <is>
          <t>Trilho / Sistema</t>
        </is>
      </c>
      <c r="D7" s="10" t="inlineStr">
        <is>
          <t>Nº da etapa *</t>
        </is>
      </c>
      <c r="E7" s="10" t="inlineStr">
        <is>
          <t>Descrição da etapa *</t>
        </is>
      </c>
      <c r="F7" s="10" t="inlineStr">
        <is>
          <t>Responsável (cargo) *</t>
        </is>
      </c>
      <c r="G7" s="10" t="inlineStr">
        <is>
          <t>Ferramenta / Sistema *</t>
        </is>
      </c>
      <c r="H7" s="10" t="inlineStr">
        <is>
          <t>Evidência gerada *</t>
        </is>
      </c>
      <c r="I7" s="10" t="inlineStr">
        <is>
          <t>SLA *</t>
        </is>
      </c>
      <c r="J7" s="10" t="inlineStr">
        <is>
          <t>É ponto de decisão? *</t>
        </is>
      </c>
      <c r="K7" s="10" t="inlineStr">
        <is>
          <t>Condição da decisão</t>
        </is>
      </c>
    </row>
    <row r="8" ht="30" customHeight="1">
      <c r="A8" s="11" t="inlineStr">
        <is>
          <t>Mídia Paga</t>
        </is>
      </c>
      <c r="B8" s="11" t="inlineStr">
        <is>
          <t>MID.01</t>
        </is>
      </c>
      <c r="C8" s="11" t="inlineStr">
        <is>
          <t>Google Ads</t>
        </is>
      </c>
      <c r="D8" s="11" t="n">
        <v>1</v>
      </c>
      <c r="E8" s="11" t="inlineStr">
        <is>
          <t>Receber briefing aprovado e conferir verba liberada</t>
        </is>
      </c>
      <c r="F8" s="11" t="inlineStr">
        <is>
          <t>Analista de Mídia Paga</t>
        </is>
      </c>
      <c r="G8" s="11" t="inlineStr">
        <is>
          <t>Nekt / Google Ads</t>
        </is>
      </c>
      <c r="H8" s="11" t="inlineStr">
        <is>
          <t>Briefing assinado</t>
        </is>
      </c>
      <c r="I8" s="11" t="inlineStr">
        <is>
          <t>D+1</t>
        </is>
      </c>
      <c r="J8" s="11" t="inlineStr">
        <is>
          <t>Não</t>
        </is>
      </c>
      <c r="K8" s="11" t="inlineStr"/>
    </row>
    <row r="9" ht="30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 ht="3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 ht="30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 ht="30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ht="30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 ht="30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 ht="30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 ht="30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 ht="30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 ht="30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 ht="30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 ht="30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 ht="30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</row>
    <row r="34" ht="3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 ht="30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</row>
    <row r="36" ht="3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 ht="30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</row>
    <row r="38" ht="3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 ht="30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</row>
    <row r="40" ht="3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 ht="30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</row>
    <row r="42" ht="3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 ht="30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</row>
    <row r="44" ht="3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 ht="30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</row>
    <row r="46" ht="3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 ht="30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</row>
    <row r="48" ht="3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 ht="30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</row>
    <row r="50" ht="3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 ht="30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</row>
    <row r="52" ht="3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 ht="30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</row>
    <row r="54" ht="3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 ht="30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</row>
    <row r="56" ht="3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 ht="30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</row>
    <row r="58" ht="3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 ht="30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</row>
    <row r="60" ht="3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 ht="30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</row>
    <row r="62" ht="3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 ht="30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</row>
    <row r="64" ht="3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 ht="30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</row>
    <row r="66" ht="3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 ht="30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</row>
    <row r="68" ht="30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 ht="30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</row>
    <row r="70" ht="30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 ht="30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</row>
    <row r="72" ht="30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 ht="30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</row>
    <row r="74" ht="30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 ht="30" customHeight="1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</row>
    <row r="76" ht="30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 ht="30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</row>
    <row r="78" ht="30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 ht="30" customHeight="1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</row>
    <row r="80" ht="30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 ht="30" customHeight="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</row>
    <row r="82" ht="30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 ht="30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</row>
    <row r="84" ht="30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 ht="30" customHeight="1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</row>
    <row r="86" ht="30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 ht="30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</row>
    <row r="88" ht="30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 ht="30" customHeight="1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</row>
    <row r="90" ht="30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 ht="30" customHeight="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</row>
    <row r="92" ht="30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 ht="30" customHeight="1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</row>
    <row r="94" ht="30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 ht="30" customHeight="1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</row>
    <row r="96" ht="30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 ht="30" customHeight="1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</row>
    <row r="98" ht="30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 ht="30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</row>
    <row r="100" ht="30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 ht="30" customHeight="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</row>
    <row r="102" ht="30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</row>
    <row r="103" ht="30" customHeight="1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</row>
    <row r="104" ht="30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</row>
    <row r="105" ht="30" customHeight="1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</row>
    <row r="106" ht="30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</row>
    <row r="107" ht="30" customHeight="1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</row>
    <row r="108" ht="30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</row>
    <row r="109" ht="30" customHeight="1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</row>
    <row r="110" ht="30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</row>
    <row r="111" ht="30" customHeight="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</row>
    <row r="112" ht="30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</row>
    <row r="113" ht="30" customHeight="1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</row>
    <row r="114" ht="30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</row>
    <row r="115" ht="30" customHeight="1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</row>
    <row r="116" ht="30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</row>
    <row r="117" ht="30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</row>
    <row r="118" ht="30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</row>
    <row r="119" ht="30" customHeight="1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</row>
    <row r="120" ht="30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</row>
    <row r="121" ht="30" customHeight="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</row>
    <row r="122" ht="30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</row>
    <row r="123" ht="30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</row>
    <row r="124" ht="30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</row>
    <row r="125" ht="30" customHeight="1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</row>
    <row r="126" ht="30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</row>
    <row r="127" ht="30" customHeight="1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</row>
    <row r="128" ht="30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</row>
    <row r="129" ht="30" customHeight="1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</row>
    <row r="130" ht="30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</row>
    <row r="131" ht="30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</row>
    <row r="132" ht="30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</row>
    <row r="133" ht="30" customHeight="1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</row>
    <row r="134" ht="30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</row>
    <row r="135" ht="30" customHeight="1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</row>
    <row r="136" ht="30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</row>
    <row r="137" ht="30" customHeight="1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</row>
    <row r="138" ht="30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</row>
    <row r="139" ht="30" customHeight="1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</row>
    <row r="140" ht="30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</row>
    <row r="141" ht="30" customHeight="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</row>
    <row r="142" ht="30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</row>
    <row r="143" ht="30" customHeight="1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</row>
    <row r="144" ht="30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</row>
    <row r="145" ht="30" customHeight="1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</row>
    <row r="146" ht="30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</row>
    <row r="147" ht="30" customHeight="1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</row>
    <row r="148" ht="30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</row>
    <row r="149" ht="30" customHeight="1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</row>
    <row r="150" ht="30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</row>
    <row r="151" ht="30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</row>
    <row r="152" ht="30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</row>
    <row r="153" ht="30" customHeight="1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</row>
    <row r="154" ht="30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</row>
    <row r="155" ht="30" customHeight="1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</row>
    <row r="156" ht="30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</row>
    <row r="157" ht="30" customHeight="1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</row>
    <row r="158" ht="30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</row>
    <row r="159" ht="30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</row>
    <row r="160" ht="30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</row>
    <row r="161" ht="30" customHeight="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</row>
    <row r="162" ht="30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</row>
    <row r="163" ht="30" customHeight="1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</row>
    <row r="164" ht="30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</row>
    <row r="165" ht="30" customHeight="1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</row>
    <row r="166" ht="30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</row>
    <row r="167" ht="30" customHeight="1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</row>
    <row r="168" ht="30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</row>
    <row r="169" ht="30" customHeight="1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</row>
    <row r="170" ht="30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</row>
    <row r="171" ht="30" customHeight="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</row>
    <row r="172" ht="30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</row>
    <row r="173" ht="30" customHeight="1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</row>
    <row r="174" ht="30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</row>
    <row r="175" ht="30" customHeight="1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</row>
    <row r="176" ht="30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</row>
    <row r="177" ht="30" customHeight="1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</row>
    <row r="178" ht="30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</row>
    <row r="179" ht="30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</row>
    <row r="180" ht="30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</row>
    <row r="181" ht="30" customHeight="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</row>
    <row r="182" ht="30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</row>
    <row r="183" ht="30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</row>
    <row r="184" ht="30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</row>
    <row r="185" ht="30" customHeight="1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</row>
    <row r="186" ht="30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</row>
    <row r="187" ht="30" customHeight="1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</row>
    <row r="188" ht="30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</row>
    <row r="189" ht="30" customHeight="1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</row>
    <row r="190" ht="30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</row>
    <row r="191" ht="30" customHeight="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</row>
    <row r="192" ht="30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</row>
    <row r="193" ht="30" customHeight="1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</row>
    <row r="194" ht="30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</row>
    <row r="195" ht="30" customHeight="1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</row>
    <row r="196" ht="30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</row>
    <row r="197" ht="30" customHeight="1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</row>
    <row r="198" ht="30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</row>
    <row r="199" ht="30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</row>
    <row r="200" ht="30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</row>
    <row r="201" ht="30" customHeight="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</row>
    <row r="202" ht="30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</row>
    <row r="203" ht="30" customHeight="1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</row>
    <row r="204" ht="30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</row>
    <row r="205" ht="30" customHeight="1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</row>
    <row r="206" ht="30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</row>
    <row r="207" ht="30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</row>
  </sheetData>
  <mergeCells count="4">
    <mergeCell ref="A2:K2"/>
    <mergeCell ref="A1:K1"/>
    <mergeCell ref="A5:K5"/>
    <mergeCell ref="A3:K3"/>
  </mergeCells>
  <dataValidations count="3">
    <dataValidation sqref="A8:A207" showDropDown="0" showInputMessage="0" showErrorMessage="0" allowBlank="1" type="list">
      <formula1>=Listas!$L$5:$L$15</formula1>
    </dataValidation>
    <dataValidation sqref="I8:I207" showDropDown="0" showInputMessage="0" showErrorMessage="0" allowBlank="1" type="list">
      <formula1>=Listas!$G$5:$G$11</formula1>
    </dataValidation>
    <dataValidation sqref="J8:J207" showDropDown="0" showInputMessage="0" showErrorMessage="0" allowBlank="1" type="list">
      <formula1>=Listas!$D$5:$D$6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44" customWidth="1" min="3" max="3"/>
    <col width="26" customWidth="1" min="4" max="4"/>
    <col width="14" customWidth="1" min="5" max="5"/>
    <col width="30" customWidth="1" min="6" max="6"/>
  </cols>
  <sheetData>
    <row r="1">
      <c r="A1" s="7" t="inlineStr">
        <is>
          <t>Matriz de Responsabilidades — RACI (§5)</t>
        </is>
      </c>
    </row>
    <row r="2">
      <c r="A2" s="2" t="inlineStr">
        <is>
          <t>VAN-FOR-SGQ-001  |  Versão 1.0  |  Emissão 11/09/2026  |  SGQ Vanguarda (VAN-QUAL-001)  |  CONFIDENCIAL</t>
        </is>
      </c>
    </row>
    <row r="3">
      <c r="A3" s="2" t="inlineStr">
        <is>
          <t>Uma linha por par atividade × papel. R = Responsável (executa) | A = Aprovador | C = Consultado | I = Informado. REGRA DE OURO DO SGQ: atividade que envolve pagamento ou compromisso financeiro tem obrigatoriamente o CEO como A.</t>
        </is>
      </c>
    </row>
    <row r="5" ht="30" customHeight="1">
      <c r="A5" s="8" t="inlineStr">
        <is>
          <t>COMO PREENCHER: escreva a partir da linha 9. A linha 8, em amarelo, é EXEMPLO — apague-a ou sobrescreva-a. Colunas com (*) são obrigatórias. Células em verde são calculadas automaticamente: não digite nelas.</t>
        </is>
      </c>
    </row>
    <row r="6">
      <c r="E6" s="9" t="inlineStr">
        <is>
          <t>R, A, C ou I</t>
        </is>
      </c>
    </row>
    <row r="7" ht="42" customHeight="1">
      <c r="A7" s="10" t="inlineStr">
        <is>
          <t>Setor *</t>
        </is>
      </c>
      <c r="B7" s="10" t="inlineStr">
        <is>
          <t>Código do Processo *</t>
        </is>
      </c>
      <c r="C7" s="10" t="inlineStr">
        <is>
          <t>Atividade *</t>
        </is>
      </c>
      <c r="D7" s="10" t="inlineStr">
        <is>
          <t>Papel / Cargo *</t>
        </is>
      </c>
      <c r="E7" s="10" t="inlineStr">
        <is>
          <t>Classificação *</t>
        </is>
      </c>
      <c r="F7" s="10" t="inlineStr">
        <is>
          <t>Observação</t>
        </is>
      </c>
    </row>
    <row r="8" ht="30" customHeight="1">
      <c r="A8" s="11" t="inlineStr">
        <is>
          <t>Mídia Paga</t>
        </is>
      </c>
      <c r="B8" s="11" t="inlineStr">
        <is>
          <t>MID.01</t>
        </is>
      </c>
      <c r="C8" s="11" t="inlineStr">
        <is>
          <t>Aprovar verba da campanha</t>
        </is>
      </c>
      <c r="D8" s="11" t="inlineStr">
        <is>
          <t>CEO — Breno Maciel</t>
        </is>
      </c>
      <c r="E8" s="11" t="inlineStr">
        <is>
          <t>A</t>
        </is>
      </c>
      <c r="F8" s="11" t="inlineStr">
        <is>
          <t>Obrigatório: a atividade envolve compromisso financeiro</t>
        </is>
      </c>
    </row>
    <row r="9" ht="30" customHeight="1">
      <c r="A9" s="12" t="n"/>
      <c r="B9" s="12" t="n"/>
      <c r="C9" s="12" t="n"/>
      <c r="D9" s="12" t="n"/>
      <c r="E9" s="12" t="n"/>
      <c r="F9" s="12" t="n"/>
    </row>
    <row r="10" ht="30" customHeight="1">
      <c r="A10" s="4" t="n"/>
      <c r="B10" s="4" t="n"/>
      <c r="C10" s="4" t="n"/>
      <c r="D10" s="4" t="n"/>
      <c r="E10" s="4" t="n"/>
      <c r="F10" s="4" t="n"/>
    </row>
    <row r="11" ht="30" customHeight="1">
      <c r="A11" s="12" t="n"/>
      <c r="B11" s="12" t="n"/>
      <c r="C11" s="12" t="n"/>
      <c r="D11" s="12" t="n"/>
      <c r="E11" s="12" t="n"/>
      <c r="F11" s="12" t="n"/>
    </row>
    <row r="12" ht="30" customHeight="1">
      <c r="A12" s="4" t="n"/>
      <c r="B12" s="4" t="n"/>
      <c r="C12" s="4" t="n"/>
      <c r="D12" s="4" t="n"/>
      <c r="E12" s="4" t="n"/>
      <c r="F12" s="4" t="n"/>
    </row>
    <row r="13" ht="30" customHeight="1">
      <c r="A13" s="12" t="n"/>
      <c r="B13" s="12" t="n"/>
      <c r="C13" s="12" t="n"/>
      <c r="D13" s="12" t="n"/>
      <c r="E13" s="12" t="n"/>
      <c r="F13" s="12" t="n"/>
    </row>
    <row r="14" ht="30" customHeight="1">
      <c r="A14" s="4" t="n"/>
      <c r="B14" s="4" t="n"/>
      <c r="C14" s="4" t="n"/>
      <c r="D14" s="4" t="n"/>
      <c r="E14" s="4" t="n"/>
      <c r="F14" s="4" t="n"/>
    </row>
    <row r="15" ht="30" customHeight="1">
      <c r="A15" s="12" t="n"/>
      <c r="B15" s="12" t="n"/>
      <c r="C15" s="12" t="n"/>
      <c r="D15" s="12" t="n"/>
      <c r="E15" s="12" t="n"/>
      <c r="F15" s="12" t="n"/>
    </row>
    <row r="16" ht="30" customHeight="1">
      <c r="A16" s="4" t="n"/>
      <c r="B16" s="4" t="n"/>
      <c r="C16" s="4" t="n"/>
      <c r="D16" s="4" t="n"/>
      <c r="E16" s="4" t="n"/>
      <c r="F16" s="4" t="n"/>
    </row>
    <row r="17" ht="30" customHeight="1">
      <c r="A17" s="12" t="n"/>
      <c r="B17" s="12" t="n"/>
      <c r="C17" s="12" t="n"/>
      <c r="D17" s="12" t="n"/>
      <c r="E17" s="12" t="n"/>
      <c r="F17" s="12" t="n"/>
    </row>
    <row r="18" ht="30" customHeight="1">
      <c r="A18" s="4" t="n"/>
      <c r="B18" s="4" t="n"/>
      <c r="C18" s="4" t="n"/>
      <c r="D18" s="4" t="n"/>
      <c r="E18" s="4" t="n"/>
      <c r="F18" s="4" t="n"/>
    </row>
    <row r="19" ht="30" customHeight="1">
      <c r="A19" s="12" t="n"/>
      <c r="B19" s="12" t="n"/>
      <c r="C19" s="12" t="n"/>
      <c r="D19" s="12" t="n"/>
      <c r="E19" s="12" t="n"/>
      <c r="F19" s="12" t="n"/>
    </row>
    <row r="20" ht="30" customHeight="1">
      <c r="A20" s="4" t="n"/>
      <c r="B20" s="4" t="n"/>
      <c r="C20" s="4" t="n"/>
      <c r="D20" s="4" t="n"/>
      <c r="E20" s="4" t="n"/>
      <c r="F20" s="4" t="n"/>
    </row>
    <row r="21" ht="30" customHeight="1">
      <c r="A21" s="12" t="n"/>
      <c r="B21" s="12" t="n"/>
      <c r="C21" s="12" t="n"/>
      <c r="D21" s="12" t="n"/>
      <c r="E21" s="12" t="n"/>
      <c r="F21" s="12" t="n"/>
    </row>
    <row r="22" ht="30" customHeight="1">
      <c r="A22" s="4" t="n"/>
      <c r="B22" s="4" t="n"/>
      <c r="C22" s="4" t="n"/>
      <c r="D22" s="4" t="n"/>
      <c r="E22" s="4" t="n"/>
      <c r="F22" s="4" t="n"/>
    </row>
    <row r="23" ht="30" customHeight="1">
      <c r="A23" s="12" t="n"/>
      <c r="B23" s="12" t="n"/>
      <c r="C23" s="12" t="n"/>
      <c r="D23" s="12" t="n"/>
      <c r="E23" s="12" t="n"/>
      <c r="F23" s="12" t="n"/>
    </row>
    <row r="24" ht="30" customHeight="1">
      <c r="A24" s="4" t="n"/>
      <c r="B24" s="4" t="n"/>
      <c r="C24" s="4" t="n"/>
      <c r="D24" s="4" t="n"/>
      <c r="E24" s="4" t="n"/>
      <c r="F24" s="4" t="n"/>
    </row>
    <row r="25" ht="30" customHeight="1">
      <c r="A25" s="12" t="n"/>
      <c r="B25" s="12" t="n"/>
      <c r="C25" s="12" t="n"/>
      <c r="D25" s="12" t="n"/>
      <c r="E25" s="12" t="n"/>
      <c r="F25" s="12" t="n"/>
    </row>
    <row r="26" ht="30" customHeight="1">
      <c r="A26" s="4" t="n"/>
      <c r="B26" s="4" t="n"/>
      <c r="C26" s="4" t="n"/>
      <c r="D26" s="4" t="n"/>
      <c r="E26" s="4" t="n"/>
      <c r="F26" s="4" t="n"/>
    </row>
    <row r="27" ht="30" customHeight="1">
      <c r="A27" s="12" t="n"/>
      <c r="B27" s="12" t="n"/>
      <c r="C27" s="12" t="n"/>
      <c r="D27" s="12" t="n"/>
      <c r="E27" s="12" t="n"/>
      <c r="F27" s="12" t="n"/>
    </row>
    <row r="28" ht="30" customHeight="1">
      <c r="A28" s="4" t="n"/>
      <c r="B28" s="4" t="n"/>
      <c r="C28" s="4" t="n"/>
      <c r="D28" s="4" t="n"/>
      <c r="E28" s="4" t="n"/>
      <c r="F28" s="4" t="n"/>
    </row>
    <row r="29" ht="30" customHeight="1">
      <c r="A29" s="12" t="n"/>
      <c r="B29" s="12" t="n"/>
      <c r="C29" s="12" t="n"/>
      <c r="D29" s="12" t="n"/>
      <c r="E29" s="12" t="n"/>
      <c r="F29" s="12" t="n"/>
    </row>
    <row r="30" ht="30" customHeight="1">
      <c r="A30" s="4" t="n"/>
      <c r="B30" s="4" t="n"/>
      <c r="C30" s="4" t="n"/>
      <c r="D30" s="4" t="n"/>
      <c r="E30" s="4" t="n"/>
      <c r="F30" s="4" t="n"/>
    </row>
    <row r="31" ht="30" customHeight="1">
      <c r="A31" s="12" t="n"/>
      <c r="B31" s="12" t="n"/>
      <c r="C31" s="12" t="n"/>
      <c r="D31" s="12" t="n"/>
      <c r="E31" s="12" t="n"/>
      <c r="F31" s="12" t="n"/>
    </row>
    <row r="32" ht="30" customHeight="1">
      <c r="A32" s="4" t="n"/>
      <c r="B32" s="4" t="n"/>
      <c r="C32" s="4" t="n"/>
      <c r="D32" s="4" t="n"/>
      <c r="E32" s="4" t="n"/>
      <c r="F32" s="4" t="n"/>
    </row>
    <row r="33" ht="30" customHeight="1">
      <c r="A33" s="12" t="n"/>
      <c r="B33" s="12" t="n"/>
      <c r="C33" s="12" t="n"/>
      <c r="D33" s="12" t="n"/>
      <c r="E33" s="12" t="n"/>
      <c r="F33" s="12" t="n"/>
    </row>
    <row r="34" ht="30" customHeight="1">
      <c r="A34" s="4" t="n"/>
      <c r="B34" s="4" t="n"/>
      <c r="C34" s="4" t="n"/>
      <c r="D34" s="4" t="n"/>
      <c r="E34" s="4" t="n"/>
      <c r="F34" s="4" t="n"/>
    </row>
    <row r="35" ht="30" customHeight="1">
      <c r="A35" s="12" t="n"/>
      <c r="B35" s="12" t="n"/>
      <c r="C35" s="12" t="n"/>
      <c r="D35" s="12" t="n"/>
      <c r="E35" s="12" t="n"/>
      <c r="F35" s="12" t="n"/>
    </row>
    <row r="36" ht="30" customHeight="1">
      <c r="A36" s="4" t="n"/>
      <c r="B36" s="4" t="n"/>
      <c r="C36" s="4" t="n"/>
      <c r="D36" s="4" t="n"/>
      <c r="E36" s="4" t="n"/>
      <c r="F36" s="4" t="n"/>
    </row>
    <row r="37" ht="30" customHeight="1">
      <c r="A37" s="12" t="n"/>
      <c r="B37" s="12" t="n"/>
      <c r="C37" s="12" t="n"/>
      <c r="D37" s="12" t="n"/>
      <c r="E37" s="12" t="n"/>
      <c r="F37" s="12" t="n"/>
    </row>
    <row r="38" ht="30" customHeight="1">
      <c r="A38" s="4" t="n"/>
      <c r="B38" s="4" t="n"/>
      <c r="C38" s="4" t="n"/>
      <c r="D38" s="4" t="n"/>
      <c r="E38" s="4" t="n"/>
      <c r="F38" s="4" t="n"/>
    </row>
    <row r="39" ht="30" customHeight="1">
      <c r="A39" s="12" t="n"/>
      <c r="B39" s="12" t="n"/>
      <c r="C39" s="12" t="n"/>
      <c r="D39" s="12" t="n"/>
      <c r="E39" s="12" t="n"/>
      <c r="F39" s="12" t="n"/>
    </row>
    <row r="40" ht="30" customHeight="1">
      <c r="A40" s="4" t="n"/>
      <c r="B40" s="4" t="n"/>
      <c r="C40" s="4" t="n"/>
      <c r="D40" s="4" t="n"/>
      <c r="E40" s="4" t="n"/>
      <c r="F40" s="4" t="n"/>
    </row>
    <row r="41" ht="30" customHeight="1">
      <c r="A41" s="12" t="n"/>
      <c r="B41" s="12" t="n"/>
      <c r="C41" s="12" t="n"/>
      <c r="D41" s="12" t="n"/>
      <c r="E41" s="12" t="n"/>
      <c r="F41" s="12" t="n"/>
    </row>
    <row r="42" ht="30" customHeight="1">
      <c r="A42" s="4" t="n"/>
      <c r="B42" s="4" t="n"/>
      <c r="C42" s="4" t="n"/>
      <c r="D42" s="4" t="n"/>
      <c r="E42" s="4" t="n"/>
      <c r="F42" s="4" t="n"/>
    </row>
    <row r="43" ht="30" customHeight="1">
      <c r="A43" s="12" t="n"/>
      <c r="B43" s="12" t="n"/>
      <c r="C43" s="12" t="n"/>
      <c r="D43" s="12" t="n"/>
      <c r="E43" s="12" t="n"/>
      <c r="F43" s="12" t="n"/>
    </row>
    <row r="44" ht="30" customHeight="1">
      <c r="A44" s="4" t="n"/>
      <c r="B44" s="4" t="n"/>
      <c r="C44" s="4" t="n"/>
      <c r="D44" s="4" t="n"/>
      <c r="E44" s="4" t="n"/>
      <c r="F44" s="4" t="n"/>
    </row>
    <row r="45" ht="30" customHeight="1">
      <c r="A45" s="12" t="n"/>
      <c r="B45" s="12" t="n"/>
      <c r="C45" s="12" t="n"/>
      <c r="D45" s="12" t="n"/>
      <c r="E45" s="12" t="n"/>
      <c r="F45" s="12" t="n"/>
    </row>
    <row r="46" ht="30" customHeight="1">
      <c r="A46" s="4" t="n"/>
      <c r="B46" s="4" t="n"/>
      <c r="C46" s="4" t="n"/>
      <c r="D46" s="4" t="n"/>
      <c r="E46" s="4" t="n"/>
      <c r="F46" s="4" t="n"/>
    </row>
    <row r="47" ht="30" customHeight="1">
      <c r="A47" s="12" t="n"/>
      <c r="B47" s="12" t="n"/>
      <c r="C47" s="12" t="n"/>
      <c r="D47" s="12" t="n"/>
      <c r="E47" s="12" t="n"/>
      <c r="F47" s="12" t="n"/>
    </row>
    <row r="48" ht="30" customHeight="1">
      <c r="A48" s="4" t="n"/>
      <c r="B48" s="4" t="n"/>
      <c r="C48" s="4" t="n"/>
      <c r="D48" s="4" t="n"/>
      <c r="E48" s="4" t="n"/>
      <c r="F48" s="4" t="n"/>
    </row>
    <row r="49" ht="30" customHeight="1">
      <c r="A49" s="12" t="n"/>
      <c r="B49" s="12" t="n"/>
      <c r="C49" s="12" t="n"/>
      <c r="D49" s="12" t="n"/>
      <c r="E49" s="12" t="n"/>
      <c r="F49" s="12" t="n"/>
    </row>
    <row r="50" ht="30" customHeight="1">
      <c r="A50" s="4" t="n"/>
      <c r="B50" s="4" t="n"/>
      <c r="C50" s="4" t="n"/>
      <c r="D50" s="4" t="n"/>
      <c r="E50" s="4" t="n"/>
      <c r="F50" s="4" t="n"/>
    </row>
    <row r="51" ht="30" customHeight="1">
      <c r="A51" s="12" t="n"/>
      <c r="B51" s="12" t="n"/>
      <c r="C51" s="12" t="n"/>
      <c r="D51" s="12" t="n"/>
      <c r="E51" s="12" t="n"/>
      <c r="F51" s="12" t="n"/>
    </row>
    <row r="52" ht="30" customHeight="1">
      <c r="A52" s="4" t="n"/>
      <c r="B52" s="4" t="n"/>
      <c r="C52" s="4" t="n"/>
      <c r="D52" s="4" t="n"/>
      <c r="E52" s="4" t="n"/>
      <c r="F52" s="4" t="n"/>
    </row>
    <row r="53" ht="30" customHeight="1">
      <c r="A53" s="12" t="n"/>
      <c r="B53" s="12" t="n"/>
      <c r="C53" s="12" t="n"/>
      <c r="D53" s="12" t="n"/>
      <c r="E53" s="12" t="n"/>
      <c r="F53" s="12" t="n"/>
    </row>
    <row r="54" ht="30" customHeight="1">
      <c r="A54" s="4" t="n"/>
      <c r="B54" s="4" t="n"/>
      <c r="C54" s="4" t="n"/>
      <c r="D54" s="4" t="n"/>
      <c r="E54" s="4" t="n"/>
      <c r="F54" s="4" t="n"/>
    </row>
    <row r="55" ht="30" customHeight="1">
      <c r="A55" s="12" t="n"/>
      <c r="B55" s="12" t="n"/>
      <c r="C55" s="12" t="n"/>
      <c r="D55" s="12" t="n"/>
      <c r="E55" s="12" t="n"/>
      <c r="F55" s="12" t="n"/>
    </row>
    <row r="56" ht="30" customHeight="1">
      <c r="A56" s="4" t="n"/>
      <c r="B56" s="4" t="n"/>
      <c r="C56" s="4" t="n"/>
      <c r="D56" s="4" t="n"/>
      <c r="E56" s="4" t="n"/>
      <c r="F56" s="4" t="n"/>
    </row>
    <row r="57" ht="30" customHeight="1">
      <c r="A57" s="12" t="n"/>
      <c r="B57" s="12" t="n"/>
      <c r="C57" s="12" t="n"/>
      <c r="D57" s="12" t="n"/>
      <c r="E57" s="12" t="n"/>
      <c r="F57" s="12" t="n"/>
    </row>
    <row r="58" ht="30" customHeight="1">
      <c r="A58" s="4" t="n"/>
      <c r="B58" s="4" t="n"/>
      <c r="C58" s="4" t="n"/>
      <c r="D58" s="4" t="n"/>
      <c r="E58" s="4" t="n"/>
      <c r="F58" s="4" t="n"/>
    </row>
    <row r="59" ht="30" customHeight="1">
      <c r="A59" s="12" t="n"/>
      <c r="B59" s="12" t="n"/>
      <c r="C59" s="12" t="n"/>
      <c r="D59" s="12" t="n"/>
      <c r="E59" s="12" t="n"/>
      <c r="F59" s="12" t="n"/>
    </row>
    <row r="60" ht="30" customHeight="1">
      <c r="A60" s="4" t="n"/>
      <c r="B60" s="4" t="n"/>
      <c r="C60" s="4" t="n"/>
      <c r="D60" s="4" t="n"/>
      <c r="E60" s="4" t="n"/>
      <c r="F60" s="4" t="n"/>
    </row>
    <row r="61" ht="30" customHeight="1">
      <c r="A61" s="12" t="n"/>
      <c r="B61" s="12" t="n"/>
      <c r="C61" s="12" t="n"/>
      <c r="D61" s="12" t="n"/>
      <c r="E61" s="12" t="n"/>
      <c r="F61" s="12" t="n"/>
    </row>
    <row r="62" ht="30" customHeight="1">
      <c r="A62" s="4" t="n"/>
      <c r="B62" s="4" t="n"/>
      <c r="C62" s="4" t="n"/>
      <c r="D62" s="4" t="n"/>
      <c r="E62" s="4" t="n"/>
      <c r="F62" s="4" t="n"/>
    </row>
    <row r="63" ht="30" customHeight="1">
      <c r="A63" s="12" t="n"/>
      <c r="B63" s="12" t="n"/>
      <c r="C63" s="12" t="n"/>
      <c r="D63" s="12" t="n"/>
      <c r="E63" s="12" t="n"/>
      <c r="F63" s="12" t="n"/>
    </row>
    <row r="64" ht="30" customHeight="1">
      <c r="A64" s="4" t="n"/>
      <c r="B64" s="4" t="n"/>
      <c r="C64" s="4" t="n"/>
      <c r="D64" s="4" t="n"/>
      <c r="E64" s="4" t="n"/>
      <c r="F64" s="4" t="n"/>
    </row>
    <row r="65" ht="30" customHeight="1">
      <c r="A65" s="12" t="n"/>
      <c r="B65" s="12" t="n"/>
      <c r="C65" s="12" t="n"/>
      <c r="D65" s="12" t="n"/>
      <c r="E65" s="12" t="n"/>
      <c r="F65" s="12" t="n"/>
    </row>
    <row r="66" ht="30" customHeight="1">
      <c r="A66" s="4" t="n"/>
      <c r="B66" s="4" t="n"/>
      <c r="C66" s="4" t="n"/>
      <c r="D66" s="4" t="n"/>
      <c r="E66" s="4" t="n"/>
      <c r="F66" s="4" t="n"/>
    </row>
    <row r="67" ht="30" customHeight="1">
      <c r="A67" s="12" t="n"/>
      <c r="B67" s="12" t="n"/>
      <c r="C67" s="12" t="n"/>
      <c r="D67" s="12" t="n"/>
      <c r="E67" s="12" t="n"/>
      <c r="F67" s="12" t="n"/>
    </row>
    <row r="68" ht="30" customHeight="1">
      <c r="A68" s="4" t="n"/>
      <c r="B68" s="4" t="n"/>
      <c r="C68" s="4" t="n"/>
      <c r="D68" s="4" t="n"/>
      <c r="E68" s="4" t="n"/>
      <c r="F68" s="4" t="n"/>
    </row>
    <row r="69" ht="30" customHeight="1">
      <c r="A69" s="12" t="n"/>
      <c r="B69" s="12" t="n"/>
      <c r="C69" s="12" t="n"/>
      <c r="D69" s="12" t="n"/>
      <c r="E69" s="12" t="n"/>
      <c r="F69" s="12" t="n"/>
    </row>
    <row r="70" ht="30" customHeight="1">
      <c r="A70" s="4" t="n"/>
      <c r="B70" s="4" t="n"/>
      <c r="C70" s="4" t="n"/>
      <c r="D70" s="4" t="n"/>
      <c r="E70" s="4" t="n"/>
      <c r="F70" s="4" t="n"/>
    </row>
    <row r="71" ht="30" customHeight="1">
      <c r="A71" s="12" t="n"/>
      <c r="B71" s="12" t="n"/>
      <c r="C71" s="12" t="n"/>
      <c r="D71" s="12" t="n"/>
      <c r="E71" s="12" t="n"/>
      <c r="F71" s="12" t="n"/>
    </row>
    <row r="72" ht="30" customHeight="1">
      <c r="A72" s="4" t="n"/>
      <c r="B72" s="4" t="n"/>
      <c r="C72" s="4" t="n"/>
      <c r="D72" s="4" t="n"/>
      <c r="E72" s="4" t="n"/>
      <c r="F72" s="4" t="n"/>
    </row>
    <row r="73" ht="30" customHeight="1">
      <c r="A73" s="12" t="n"/>
      <c r="B73" s="12" t="n"/>
      <c r="C73" s="12" t="n"/>
      <c r="D73" s="12" t="n"/>
      <c r="E73" s="12" t="n"/>
      <c r="F73" s="12" t="n"/>
    </row>
    <row r="74" ht="30" customHeight="1">
      <c r="A74" s="4" t="n"/>
      <c r="B74" s="4" t="n"/>
      <c r="C74" s="4" t="n"/>
      <c r="D74" s="4" t="n"/>
      <c r="E74" s="4" t="n"/>
      <c r="F74" s="4" t="n"/>
    </row>
    <row r="75" ht="30" customHeight="1">
      <c r="A75" s="12" t="n"/>
      <c r="B75" s="12" t="n"/>
      <c r="C75" s="12" t="n"/>
      <c r="D75" s="12" t="n"/>
      <c r="E75" s="12" t="n"/>
      <c r="F75" s="12" t="n"/>
    </row>
    <row r="76" ht="30" customHeight="1">
      <c r="A76" s="4" t="n"/>
      <c r="B76" s="4" t="n"/>
      <c r="C76" s="4" t="n"/>
      <c r="D76" s="4" t="n"/>
      <c r="E76" s="4" t="n"/>
      <c r="F76" s="4" t="n"/>
    </row>
    <row r="77" ht="30" customHeight="1">
      <c r="A77" s="12" t="n"/>
      <c r="B77" s="12" t="n"/>
      <c r="C77" s="12" t="n"/>
      <c r="D77" s="12" t="n"/>
      <c r="E77" s="12" t="n"/>
      <c r="F77" s="12" t="n"/>
    </row>
    <row r="78" ht="30" customHeight="1">
      <c r="A78" s="4" t="n"/>
      <c r="B78" s="4" t="n"/>
      <c r="C78" s="4" t="n"/>
      <c r="D78" s="4" t="n"/>
      <c r="E78" s="4" t="n"/>
      <c r="F78" s="4" t="n"/>
    </row>
    <row r="79" ht="30" customHeight="1">
      <c r="A79" s="12" t="n"/>
      <c r="B79" s="12" t="n"/>
      <c r="C79" s="12" t="n"/>
      <c r="D79" s="12" t="n"/>
      <c r="E79" s="12" t="n"/>
      <c r="F79" s="12" t="n"/>
    </row>
    <row r="80" ht="30" customHeight="1">
      <c r="A80" s="4" t="n"/>
      <c r="B80" s="4" t="n"/>
      <c r="C80" s="4" t="n"/>
      <c r="D80" s="4" t="n"/>
      <c r="E80" s="4" t="n"/>
      <c r="F80" s="4" t="n"/>
    </row>
    <row r="81" ht="30" customHeight="1">
      <c r="A81" s="12" t="n"/>
      <c r="B81" s="12" t="n"/>
      <c r="C81" s="12" t="n"/>
      <c r="D81" s="12" t="n"/>
      <c r="E81" s="12" t="n"/>
      <c r="F81" s="12" t="n"/>
    </row>
    <row r="82" ht="30" customHeight="1">
      <c r="A82" s="4" t="n"/>
      <c r="B82" s="4" t="n"/>
      <c r="C82" s="4" t="n"/>
      <c r="D82" s="4" t="n"/>
      <c r="E82" s="4" t="n"/>
      <c r="F82" s="4" t="n"/>
    </row>
    <row r="83" ht="30" customHeight="1">
      <c r="A83" s="12" t="n"/>
      <c r="B83" s="12" t="n"/>
      <c r="C83" s="12" t="n"/>
      <c r="D83" s="12" t="n"/>
      <c r="E83" s="12" t="n"/>
      <c r="F83" s="12" t="n"/>
    </row>
    <row r="84" ht="30" customHeight="1">
      <c r="A84" s="4" t="n"/>
      <c r="B84" s="4" t="n"/>
      <c r="C84" s="4" t="n"/>
      <c r="D84" s="4" t="n"/>
      <c r="E84" s="4" t="n"/>
      <c r="F84" s="4" t="n"/>
    </row>
    <row r="85" ht="30" customHeight="1">
      <c r="A85" s="12" t="n"/>
      <c r="B85" s="12" t="n"/>
      <c r="C85" s="12" t="n"/>
      <c r="D85" s="12" t="n"/>
      <c r="E85" s="12" t="n"/>
      <c r="F85" s="12" t="n"/>
    </row>
    <row r="86" ht="30" customHeight="1">
      <c r="A86" s="4" t="n"/>
      <c r="B86" s="4" t="n"/>
      <c r="C86" s="4" t="n"/>
      <c r="D86" s="4" t="n"/>
      <c r="E86" s="4" t="n"/>
      <c r="F86" s="4" t="n"/>
    </row>
    <row r="87" ht="30" customHeight="1">
      <c r="A87" s="12" t="n"/>
      <c r="B87" s="12" t="n"/>
      <c r="C87" s="12" t="n"/>
      <c r="D87" s="12" t="n"/>
      <c r="E87" s="12" t="n"/>
      <c r="F87" s="12" t="n"/>
    </row>
    <row r="88" ht="30" customHeight="1">
      <c r="A88" s="4" t="n"/>
      <c r="B88" s="4" t="n"/>
      <c r="C88" s="4" t="n"/>
      <c r="D88" s="4" t="n"/>
      <c r="E88" s="4" t="n"/>
      <c r="F88" s="4" t="n"/>
    </row>
    <row r="89" ht="30" customHeight="1">
      <c r="A89" s="12" t="n"/>
      <c r="B89" s="12" t="n"/>
      <c r="C89" s="12" t="n"/>
      <c r="D89" s="12" t="n"/>
      <c r="E89" s="12" t="n"/>
      <c r="F89" s="12" t="n"/>
    </row>
    <row r="90" ht="30" customHeight="1">
      <c r="A90" s="4" t="n"/>
      <c r="B90" s="4" t="n"/>
      <c r="C90" s="4" t="n"/>
      <c r="D90" s="4" t="n"/>
      <c r="E90" s="4" t="n"/>
      <c r="F90" s="4" t="n"/>
    </row>
    <row r="91" ht="30" customHeight="1">
      <c r="A91" s="12" t="n"/>
      <c r="B91" s="12" t="n"/>
      <c r="C91" s="12" t="n"/>
      <c r="D91" s="12" t="n"/>
      <c r="E91" s="12" t="n"/>
      <c r="F91" s="12" t="n"/>
    </row>
    <row r="92" ht="30" customHeight="1">
      <c r="A92" s="4" t="n"/>
      <c r="B92" s="4" t="n"/>
      <c r="C92" s="4" t="n"/>
      <c r="D92" s="4" t="n"/>
      <c r="E92" s="4" t="n"/>
      <c r="F92" s="4" t="n"/>
    </row>
    <row r="93" ht="30" customHeight="1">
      <c r="A93" s="12" t="n"/>
      <c r="B93" s="12" t="n"/>
      <c r="C93" s="12" t="n"/>
      <c r="D93" s="12" t="n"/>
      <c r="E93" s="12" t="n"/>
      <c r="F93" s="12" t="n"/>
    </row>
    <row r="94" ht="30" customHeight="1">
      <c r="A94" s="4" t="n"/>
      <c r="B94" s="4" t="n"/>
      <c r="C94" s="4" t="n"/>
      <c r="D94" s="4" t="n"/>
      <c r="E94" s="4" t="n"/>
      <c r="F94" s="4" t="n"/>
    </row>
    <row r="95" ht="30" customHeight="1">
      <c r="A95" s="12" t="n"/>
      <c r="B95" s="12" t="n"/>
      <c r="C95" s="12" t="n"/>
      <c r="D95" s="12" t="n"/>
      <c r="E95" s="12" t="n"/>
      <c r="F95" s="12" t="n"/>
    </row>
    <row r="96" ht="30" customHeight="1">
      <c r="A96" s="4" t="n"/>
      <c r="B96" s="4" t="n"/>
      <c r="C96" s="4" t="n"/>
      <c r="D96" s="4" t="n"/>
      <c r="E96" s="4" t="n"/>
      <c r="F96" s="4" t="n"/>
    </row>
    <row r="97" ht="30" customHeight="1">
      <c r="A97" s="12" t="n"/>
      <c r="B97" s="12" t="n"/>
      <c r="C97" s="12" t="n"/>
      <c r="D97" s="12" t="n"/>
      <c r="E97" s="12" t="n"/>
      <c r="F97" s="12" t="n"/>
    </row>
    <row r="98" ht="30" customHeight="1">
      <c r="A98" s="4" t="n"/>
      <c r="B98" s="4" t="n"/>
      <c r="C98" s="4" t="n"/>
      <c r="D98" s="4" t="n"/>
      <c r="E98" s="4" t="n"/>
      <c r="F98" s="4" t="n"/>
    </row>
    <row r="99" ht="30" customHeight="1">
      <c r="A99" s="12" t="n"/>
      <c r="B99" s="12" t="n"/>
      <c r="C99" s="12" t="n"/>
      <c r="D99" s="12" t="n"/>
      <c r="E99" s="12" t="n"/>
      <c r="F99" s="12" t="n"/>
    </row>
    <row r="100" ht="30" customHeight="1">
      <c r="A100" s="4" t="n"/>
      <c r="B100" s="4" t="n"/>
      <c r="C100" s="4" t="n"/>
      <c r="D100" s="4" t="n"/>
      <c r="E100" s="4" t="n"/>
      <c r="F100" s="4" t="n"/>
    </row>
    <row r="101" ht="30" customHeight="1">
      <c r="A101" s="12" t="n"/>
      <c r="B101" s="12" t="n"/>
      <c r="C101" s="12" t="n"/>
      <c r="D101" s="12" t="n"/>
      <c r="E101" s="12" t="n"/>
      <c r="F101" s="12" t="n"/>
    </row>
    <row r="102" ht="30" customHeight="1">
      <c r="A102" s="4" t="n"/>
      <c r="B102" s="4" t="n"/>
      <c r="C102" s="4" t="n"/>
      <c r="D102" s="4" t="n"/>
      <c r="E102" s="4" t="n"/>
      <c r="F102" s="4" t="n"/>
    </row>
    <row r="103" ht="30" customHeight="1">
      <c r="A103" s="12" t="n"/>
      <c r="B103" s="12" t="n"/>
      <c r="C103" s="12" t="n"/>
      <c r="D103" s="12" t="n"/>
      <c r="E103" s="12" t="n"/>
      <c r="F103" s="12" t="n"/>
    </row>
    <row r="104" ht="30" customHeight="1">
      <c r="A104" s="4" t="n"/>
      <c r="B104" s="4" t="n"/>
      <c r="C104" s="4" t="n"/>
      <c r="D104" s="4" t="n"/>
      <c r="E104" s="4" t="n"/>
      <c r="F104" s="4" t="n"/>
    </row>
    <row r="105" ht="30" customHeight="1">
      <c r="A105" s="12" t="n"/>
      <c r="B105" s="12" t="n"/>
      <c r="C105" s="12" t="n"/>
      <c r="D105" s="12" t="n"/>
      <c r="E105" s="12" t="n"/>
      <c r="F105" s="12" t="n"/>
    </row>
    <row r="106" ht="30" customHeight="1">
      <c r="A106" s="4" t="n"/>
      <c r="B106" s="4" t="n"/>
      <c r="C106" s="4" t="n"/>
      <c r="D106" s="4" t="n"/>
      <c r="E106" s="4" t="n"/>
      <c r="F106" s="4" t="n"/>
    </row>
    <row r="107" ht="30" customHeight="1">
      <c r="A107" s="12" t="n"/>
      <c r="B107" s="12" t="n"/>
      <c r="C107" s="12" t="n"/>
      <c r="D107" s="12" t="n"/>
      <c r="E107" s="12" t="n"/>
      <c r="F107" s="12" t="n"/>
    </row>
    <row r="108" ht="30" customHeight="1">
      <c r="A108" s="4" t="n"/>
      <c r="B108" s="4" t="n"/>
      <c r="C108" s="4" t="n"/>
      <c r="D108" s="4" t="n"/>
      <c r="E108" s="4" t="n"/>
      <c r="F108" s="4" t="n"/>
    </row>
    <row r="109" ht="30" customHeight="1">
      <c r="A109" s="12" t="n"/>
      <c r="B109" s="12" t="n"/>
      <c r="C109" s="12" t="n"/>
      <c r="D109" s="12" t="n"/>
      <c r="E109" s="12" t="n"/>
      <c r="F109" s="12" t="n"/>
    </row>
    <row r="110" ht="30" customHeight="1">
      <c r="A110" s="4" t="n"/>
      <c r="B110" s="4" t="n"/>
      <c r="C110" s="4" t="n"/>
      <c r="D110" s="4" t="n"/>
      <c r="E110" s="4" t="n"/>
      <c r="F110" s="4" t="n"/>
    </row>
    <row r="111" ht="30" customHeight="1">
      <c r="A111" s="12" t="n"/>
      <c r="B111" s="12" t="n"/>
      <c r="C111" s="12" t="n"/>
      <c r="D111" s="12" t="n"/>
      <c r="E111" s="12" t="n"/>
      <c r="F111" s="12" t="n"/>
    </row>
    <row r="112" ht="30" customHeight="1">
      <c r="A112" s="4" t="n"/>
      <c r="B112" s="4" t="n"/>
      <c r="C112" s="4" t="n"/>
      <c r="D112" s="4" t="n"/>
      <c r="E112" s="4" t="n"/>
      <c r="F112" s="4" t="n"/>
    </row>
    <row r="113" ht="30" customHeight="1">
      <c r="A113" s="12" t="n"/>
      <c r="B113" s="12" t="n"/>
      <c r="C113" s="12" t="n"/>
      <c r="D113" s="12" t="n"/>
      <c r="E113" s="12" t="n"/>
      <c r="F113" s="12" t="n"/>
    </row>
    <row r="114" ht="30" customHeight="1">
      <c r="A114" s="4" t="n"/>
      <c r="B114" s="4" t="n"/>
      <c r="C114" s="4" t="n"/>
      <c r="D114" s="4" t="n"/>
      <c r="E114" s="4" t="n"/>
      <c r="F114" s="4" t="n"/>
    </row>
    <row r="115" ht="30" customHeight="1">
      <c r="A115" s="12" t="n"/>
      <c r="B115" s="12" t="n"/>
      <c r="C115" s="12" t="n"/>
      <c r="D115" s="12" t="n"/>
      <c r="E115" s="12" t="n"/>
      <c r="F115" s="12" t="n"/>
    </row>
    <row r="116" ht="30" customHeight="1">
      <c r="A116" s="4" t="n"/>
      <c r="B116" s="4" t="n"/>
      <c r="C116" s="4" t="n"/>
      <c r="D116" s="4" t="n"/>
      <c r="E116" s="4" t="n"/>
      <c r="F116" s="4" t="n"/>
    </row>
    <row r="117" ht="30" customHeight="1">
      <c r="A117" s="12" t="n"/>
      <c r="B117" s="12" t="n"/>
      <c r="C117" s="12" t="n"/>
      <c r="D117" s="12" t="n"/>
      <c r="E117" s="12" t="n"/>
      <c r="F117" s="12" t="n"/>
    </row>
    <row r="118" ht="30" customHeight="1">
      <c r="A118" s="4" t="n"/>
      <c r="B118" s="4" t="n"/>
      <c r="C118" s="4" t="n"/>
      <c r="D118" s="4" t="n"/>
      <c r="E118" s="4" t="n"/>
      <c r="F118" s="4" t="n"/>
    </row>
    <row r="119" ht="30" customHeight="1">
      <c r="A119" s="12" t="n"/>
      <c r="B119" s="12" t="n"/>
      <c r="C119" s="12" t="n"/>
      <c r="D119" s="12" t="n"/>
      <c r="E119" s="12" t="n"/>
      <c r="F119" s="12" t="n"/>
    </row>
    <row r="120" ht="30" customHeight="1">
      <c r="A120" s="4" t="n"/>
      <c r="B120" s="4" t="n"/>
      <c r="C120" s="4" t="n"/>
      <c r="D120" s="4" t="n"/>
      <c r="E120" s="4" t="n"/>
      <c r="F120" s="4" t="n"/>
    </row>
    <row r="121" ht="30" customHeight="1">
      <c r="A121" s="12" t="n"/>
      <c r="B121" s="12" t="n"/>
      <c r="C121" s="12" t="n"/>
      <c r="D121" s="12" t="n"/>
      <c r="E121" s="12" t="n"/>
      <c r="F121" s="12" t="n"/>
    </row>
    <row r="122" ht="30" customHeight="1">
      <c r="A122" s="4" t="n"/>
      <c r="B122" s="4" t="n"/>
      <c r="C122" s="4" t="n"/>
      <c r="D122" s="4" t="n"/>
      <c r="E122" s="4" t="n"/>
      <c r="F122" s="4" t="n"/>
    </row>
    <row r="123" ht="30" customHeight="1">
      <c r="A123" s="12" t="n"/>
      <c r="B123" s="12" t="n"/>
      <c r="C123" s="12" t="n"/>
      <c r="D123" s="12" t="n"/>
      <c r="E123" s="12" t="n"/>
      <c r="F123" s="12" t="n"/>
    </row>
    <row r="124" ht="30" customHeight="1">
      <c r="A124" s="4" t="n"/>
      <c r="B124" s="4" t="n"/>
      <c r="C124" s="4" t="n"/>
      <c r="D124" s="4" t="n"/>
      <c r="E124" s="4" t="n"/>
      <c r="F124" s="4" t="n"/>
    </row>
    <row r="125" ht="30" customHeight="1">
      <c r="A125" s="12" t="n"/>
      <c r="B125" s="12" t="n"/>
      <c r="C125" s="12" t="n"/>
      <c r="D125" s="12" t="n"/>
      <c r="E125" s="12" t="n"/>
      <c r="F125" s="12" t="n"/>
    </row>
    <row r="126" ht="30" customHeight="1">
      <c r="A126" s="4" t="n"/>
      <c r="B126" s="4" t="n"/>
      <c r="C126" s="4" t="n"/>
      <c r="D126" s="4" t="n"/>
      <c r="E126" s="4" t="n"/>
      <c r="F126" s="4" t="n"/>
    </row>
    <row r="127" ht="30" customHeight="1">
      <c r="A127" s="12" t="n"/>
      <c r="B127" s="12" t="n"/>
      <c r="C127" s="12" t="n"/>
      <c r="D127" s="12" t="n"/>
      <c r="E127" s="12" t="n"/>
      <c r="F127" s="12" t="n"/>
    </row>
    <row r="128" ht="30" customHeight="1">
      <c r="A128" s="4" t="n"/>
      <c r="B128" s="4" t="n"/>
      <c r="C128" s="4" t="n"/>
      <c r="D128" s="4" t="n"/>
      <c r="E128" s="4" t="n"/>
      <c r="F128" s="4" t="n"/>
    </row>
    <row r="129" ht="30" customHeight="1">
      <c r="A129" s="12" t="n"/>
      <c r="B129" s="12" t="n"/>
      <c r="C129" s="12" t="n"/>
      <c r="D129" s="12" t="n"/>
      <c r="E129" s="12" t="n"/>
      <c r="F129" s="12" t="n"/>
    </row>
    <row r="130" ht="30" customHeight="1">
      <c r="A130" s="4" t="n"/>
      <c r="B130" s="4" t="n"/>
      <c r="C130" s="4" t="n"/>
      <c r="D130" s="4" t="n"/>
      <c r="E130" s="4" t="n"/>
      <c r="F130" s="4" t="n"/>
    </row>
    <row r="131" ht="30" customHeight="1">
      <c r="A131" s="12" t="n"/>
      <c r="B131" s="12" t="n"/>
      <c r="C131" s="12" t="n"/>
      <c r="D131" s="12" t="n"/>
      <c r="E131" s="12" t="n"/>
      <c r="F131" s="12" t="n"/>
    </row>
    <row r="132" ht="30" customHeight="1">
      <c r="A132" s="4" t="n"/>
      <c r="B132" s="4" t="n"/>
      <c r="C132" s="4" t="n"/>
      <c r="D132" s="4" t="n"/>
      <c r="E132" s="4" t="n"/>
      <c r="F132" s="4" t="n"/>
    </row>
    <row r="133" ht="30" customHeight="1">
      <c r="A133" s="12" t="n"/>
      <c r="B133" s="12" t="n"/>
      <c r="C133" s="12" t="n"/>
      <c r="D133" s="12" t="n"/>
      <c r="E133" s="12" t="n"/>
      <c r="F133" s="12" t="n"/>
    </row>
    <row r="134" ht="30" customHeight="1">
      <c r="A134" s="4" t="n"/>
      <c r="B134" s="4" t="n"/>
      <c r="C134" s="4" t="n"/>
      <c r="D134" s="4" t="n"/>
      <c r="E134" s="4" t="n"/>
      <c r="F134" s="4" t="n"/>
    </row>
    <row r="135" ht="30" customHeight="1">
      <c r="A135" s="12" t="n"/>
      <c r="B135" s="12" t="n"/>
      <c r="C135" s="12" t="n"/>
      <c r="D135" s="12" t="n"/>
      <c r="E135" s="12" t="n"/>
      <c r="F135" s="12" t="n"/>
    </row>
    <row r="136" ht="30" customHeight="1">
      <c r="A136" s="4" t="n"/>
      <c r="B136" s="4" t="n"/>
      <c r="C136" s="4" t="n"/>
      <c r="D136" s="4" t="n"/>
      <c r="E136" s="4" t="n"/>
      <c r="F136" s="4" t="n"/>
    </row>
    <row r="137" ht="30" customHeight="1">
      <c r="A137" s="12" t="n"/>
      <c r="B137" s="12" t="n"/>
      <c r="C137" s="12" t="n"/>
      <c r="D137" s="12" t="n"/>
      <c r="E137" s="12" t="n"/>
      <c r="F137" s="12" t="n"/>
    </row>
    <row r="138" ht="30" customHeight="1">
      <c r="A138" s="4" t="n"/>
      <c r="B138" s="4" t="n"/>
      <c r="C138" s="4" t="n"/>
      <c r="D138" s="4" t="n"/>
      <c r="E138" s="4" t="n"/>
      <c r="F138" s="4" t="n"/>
    </row>
    <row r="139" ht="30" customHeight="1">
      <c r="A139" s="12" t="n"/>
      <c r="B139" s="12" t="n"/>
      <c r="C139" s="12" t="n"/>
      <c r="D139" s="12" t="n"/>
      <c r="E139" s="12" t="n"/>
      <c r="F139" s="12" t="n"/>
    </row>
    <row r="140" ht="30" customHeight="1">
      <c r="A140" s="4" t="n"/>
      <c r="B140" s="4" t="n"/>
      <c r="C140" s="4" t="n"/>
      <c r="D140" s="4" t="n"/>
      <c r="E140" s="4" t="n"/>
      <c r="F140" s="4" t="n"/>
    </row>
    <row r="141" ht="30" customHeight="1">
      <c r="A141" s="12" t="n"/>
      <c r="B141" s="12" t="n"/>
      <c r="C141" s="12" t="n"/>
      <c r="D141" s="12" t="n"/>
      <c r="E141" s="12" t="n"/>
      <c r="F141" s="12" t="n"/>
    </row>
    <row r="142" ht="30" customHeight="1">
      <c r="A142" s="4" t="n"/>
      <c r="B142" s="4" t="n"/>
      <c r="C142" s="4" t="n"/>
      <c r="D142" s="4" t="n"/>
      <c r="E142" s="4" t="n"/>
      <c r="F142" s="4" t="n"/>
    </row>
    <row r="143" ht="30" customHeight="1">
      <c r="A143" s="12" t="n"/>
      <c r="B143" s="12" t="n"/>
      <c r="C143" s="12" t="n"/>
      <c r="D143" s="12" t="n"/>
      <c r="E143" s="12" t="n"/>
      <c r="F143" s="12" t="n"/>
    </row>
    <row r="144" ht="30" customHeight="1">
      <c r="A144" s="4" t="n"/>
      <c r="B144" s="4" t="n"/>
      <c r="C144" s="4" t="n"/>
      <c r="D144" s="4" t="n"/>
      <c r="E144" s="4" t="n"/>
      <c r="F144" s="4" t="n"/>
    </row>
    <row r="145" ht="30" customHeight="1">
      <c r="A145" s="12" t="n"/>
      <c r="B145" s="12" t="n"/>
      <c r="C145" s="12" t="n"/>
      <c r="D145" s="12" t="n"/>
      <c r="E145" s="12" t="n"/>
      <c r="F145" s="12" t="n"/>
    </row>
    <row r="146" ht="30" customHeight="1">
      <c r="A146" s="4" t="n"/>
      <c r="B146" s="4" t="n"/>
      <c r="C146" s="4" t="n"/>
      <c r="D146" s="4" t="n"/>
      <c r="E146" s="4" t="n"/>
      <c r="F146" s="4" t="n"/>
    </row>
    <row r="147" ht="30" customHeight="1">
      <c r="A147" s="12" t="n"/>
      <c r="B147" s="12" t="n"/>
      <c r="C147" s="12" t="n"/>
      <c r="D147" s="12" t="n"/>
      <c r="E147" s="12" t="n"/>
      <c r="F147" s="12" t="n"/>
    </row>
    <row r="148" ht="30" customHeight="1">
      <c r="A148" s="4" t="n"/>
      <c r="B148" s="4" t="n"/>
      <c r="C148" s="4" t="n"/>
      <c r="D148" s="4" t="n"/>
      <c r="E148" s="4" t="n"/>
      <c r="F148" s="4" t="n"/>
    </row>
    <row r="149" ht="30" customHeight="1">
      <c r="A149" s="12" t="n"/>
      <c r="B149" s="12" t="n"/>
      <c r="C149" s="12" t="n"/>
      <c r="D149" s="12" t="n"/>
      <c r="E149" s="12" t="n"/>
      <c r="F149" s="12" t="n"/>
    </row>
    <row r="150" ht="30" customHeight="1">
      <c r="A150" s="4" t="n"/>
      <c r="B150" s="4" t="n"/>
      <c r="C150" s="4" t="n"/>
      <c r="D150" s="4" t="n"/>
      <c r="E150" s="4" t="n"/>
      <c r="F150" s="4" t="n"/>
    </row>
    <row r="151" ht="30" customHeight="1">
      <c r="A151" s="12" t="n"/>
      <c r="B151" s="12" t="n"/>
      <c r="C151" s="12" t="n"/>
      <c r="D151" s="12" t="n"/>
      <c r="E151" s="12" t="n"/>
      <c r="F151" s="12" t="n"/>
    </row>
    <row r="152" ht="30" customHeight="1">
      <c r="A152" s="4" t="n"/>
      <c r="B152" s="4" t="n"/>
      <c r="C152" s="4" t="n"/>
      <c r="D152" s="4" t="n"/>
      <c r="E152" s="4" t="n"/>
      <c r="F152" s="4" t="n"/>
    </row>
    <row r="153" ht="30" customHeight="1">
      <c r="A153" s="12" t="n"/>
      <c r="B153" s="12" t="n"/>
      <c r="C153" s="12" t="n"/>
      <c r="D153" s="12" t="n"/>
      <c r="E153" s="12" t="n"/>
      <c r="F153" s="12" t="n"/>
    </row>
    <row r="154" ht="30" customHeight="1">
      <c r="A154" s="4" t="n"/>
      <c r="B154" s="4" t="n"/>
      <c r="C154" s="4" t="n"/>
      <c r="D154" s="4" t="n"/>
      <c r="E154" s="4" t="n"/>
      <c r="F154" s="4" t="n"/>
    </row>
    <row r="155" ht="30" customHeight="1">
      <c r="A155" s="12" t="n"/>
      <c r="B155" s="12" t="n"/>
      <c r="C155" s="12" t="n"/>
      <c r="D155" s="12" t="n"/>
      <c r="E155" s="12" t="n"/>
      <c r="F155" s="12" t="n"/>
    </row>
    <row r="156" ht="30" customHeight="1">
      <c r="A156" s="4" t="n"/>
      <c r="B156" s="4" t="n"/>
      <c r="C156" s="4" t="n"/>
      <c r="D156" s="4" t="n"/>
      <c r="E156" s="4" t="n"/>
      <c r="F156" s="4" t="n"/>
    </row>
    <row r="157" ht="30" customHeight="1">
      <c r="A157" s="12" t="n"/>
      <c r="B157" s="12" t="n"/>
      <c r="C157" s="12" t="n"/>
      <c r="D157" s="12" t="n"/>
      <c r="E157" s="12" t="n"/>
      <c r="F157" s="12" t="n"/>
    </row>
    <row r="158" ht="30" customHeight="1">
      <c r="A158" s="4" t="n"/>
      <c r="B158" s="4" t="n"/>
      <c r="C158" s="4" t="n"/>
      <c r="D158" s="4" t="n"/>
      <c r="E158" s="4" t="n"/>
      <c r="F158" s="4" t="n"/>
    </row>
    <row r="159" ht="30" customHeight="1">
      <c r="A159" s="12" t="n"/>
      <c r="B159" s="12" t="n"/>
      <c r="C159" s="12" t="n"/>
      <c r="D159" s="12" t="n"/>
      <c r="E159" s="12" t="n"/>
      <c r="F159" s="12" t="n"/>
    </row>
    <row r="160" ht="30" customHeight="1">
      <c r="A160" s="4" t="n"/>
      <c r="B160" s="4" t="n"/>
      <c r="C160" s="4" t="n"/>
      <c r="D160" s="4" t="n"/>
      <c r="E160" s="4" t="n"/>
      <c r="F160" s="4" t="n"/>
    </row>
    <row r="161" ht="30" customHeight="1">
      <c r="A161" s="12" t="n"/>
      <c r="B161" s="12" t="n"/>
      <c r="C161" s="12" t="n"/>
      <c r="D161" s="12" t="n"/>
      <c r="E161" s="12" t="n"/>
      <c r="F161" s="12" t="n"/>
    </row>
    <row r="162" ht="30" customHeight="1">
      <c r="A162" s="4" t="n"/>
      <c r="B162" s="4" t="n"/>
      <c r="C162" s="4" t="n"/>
      <c r="D162" s="4" t="n"/>
      <c r="E162" s="4" t="n"/>
      <c r="F162" s="4" t="n"/>
    </row>
    <row r="163" ht="30" customHeight="1">
      <c r="A163" s="12" t="n"/>
      <c r="B163" s="12" t="n"/>
      <c r="C163" s="12" t="n"/>
      <c r="D163" s="12" t="n"/>
      <c r="E163" s="12" t="n"/>
      <c r="F163" s="12" t="n"/>
    </row>
    <row r="164" ht="30" customHeight="1">
      <c r="A164" s="4" t="n"/>
      <c r="B164" s="4" t="n"/>
      <c r="C164" s="4" t="n"/>
      <c r="D164" s="4" t="n"/>
      <c r="E164" s="4" t="n"/>
      <c r="F164" s="4" t="n"/>
    </row>
    <row r="165" ht="30" customHeight="1">
      <c r="A165" s="12" t="n"/>
      <c r="B165" s="12" t="n"/>
      <c r="C165" s="12" t="n"/>
      <c r="D165" s="12" t="n"/>
      <c r="E165" s="12" t="n"/>
      <c r="F165" s="12" t="n"/>
    </row>
    <row r="166" ht="30" customHeight="1">
      <c r="A166" s="4" t="n"/>
      <c r="B166" s="4" t="n"/>
      <c r="C166" s="4" t="n"/>
      <c r="D166" s="4" t="n"/>
      <c r="E166" s="4" t="n"/>
      <c r="F166" s="4" t="n"/>
    </row>
    <row r="167" ht="30" customHeight="1">
      <c r="A167" s="12" t="n"/>
      <c r="B167" s="12" t="n"/>
      <c r="C167" s="12" t="n"/>
      <c r="D167" s="12" t="n"/>
      <c r="E167" s="12" t="n"/>
      <c r="F167" s="12" t="n"/>
    </row>
    <row r="168" ht="30" customHeight="1">
      <c r="A168" s="4" t="n"/>
      <c r="B168" s="4" t="n"/>
      <c r="C168" s="4" t="n"/>
      <c r="D168" s="4" t="n"/>
      <c r="E168" s="4" t="n"/>
      <c r="F168" s="4" t="n"/>
    </row>
    <row r="169" ht="30" customHeight="1">
      <c r="A169" s="12" t="n"/>
      <c r="B169" s="12" t="n"/>
      <c r="C169" s="12" t="n"/>
      <c r="D169" s="12" t="n"/>
      <c r="E169" s="12" t="n"/>
      <c r="F169" s="12" t="n"/>
    </row>
    <row r="170" ht="30" customHeight="1">
      <c r="A170" s="4" t="n"/>
      <c r="B170" s="4" t="n"/>
      <c r="C170" s="4" t="n"/>
      <c r="D170" s="4" t="n"/>
      <c r="E170" s="4" t="n"/>
      <c r="F170" s="4" t="n"/>
    </row>
    <row r="171" ht="30" customHeight="1">
      <c r="A171" s="12" t="n"/>
      <c r="B171" s="12" t="n"/>
      <c r="C171" s="12" t="n"/>
      <c r="D171" s="12" t="n"/>
      <c r="E171" s="12" t="n"/>
      <c r="F171" s="12" t="n"/>
    </row>
    <row r="172" ht="30" customHeight="1">
      <c r="A172" s="4" t="n"/>
      <c r="B172" s="4" t="n"/>
      <c r="C172" s="4" t="n"/>
      <c r="D172" s="4" t="n"/>
      <c r="E172" s="4" t="n"/>
      <c r="F172" s="4" t="n"/>
    </row>
    <row r="173" ht="30" customHeight="1">
      <c r="A173" s="12" t="n"/>
      <c r="B173" s="12" t="n"/>
      <c r="C173" s="12" t="n"/>
      <c r="D173" s="12" t="n"/>
      <c r="E173" s="12" t="n"/>
      <c r="F173" s="12" t="n"/>
    </row>
    <row r="174" ht="30" customHeight="1">
      <c r="A174" s="4" t="n"/>
      <c r="B174" s="4" t="n"/>
      <c r="C174" s="4" t="n"/>
      <c r="D174" s="4" t="n"/>
      <c r="E174" s="4" t="n"/>
      <c r="F174" s="4" t="n"/>
    </row>
    <row r="175" ht="30" customHeight="1">
      <c r="A175" s="12" t="n"/>
      <c r="B175" s="12" t="n"/>
      <c r="C175" s="12" t="n"/>
      <c r="D175" s="12" t="n"/>
      <c r="E175" s="12" t="n"/>
      <c r="F175" s="12" t="n"/>
    </row>
    <row r="176" ht="30" customHeight="1">
      <c r="A176" s="4" t="n"/>
      <c r="B176" s="4" t="n"/>
      <c r="C176" s="4" t="n"/>
      <c r="D176" s="4" t="n"/>
      <c r="E176" s="4" t="n"/>
      <c r="F176" s="4" t="n"/>
    </row>
    <row r="177" ht="30" customHeight="1">
      <c r="A177" s="12" t="n"/>
      <c r="B177" s="12" t="n"/>
      <c r="C177" s="12" t="n"/>
      <c r="D177" s="12" t="n"/>
      <c r="E177" s="12" t="n"/>
      <c r="F177" s="12" t="n"/>
    </row>
    <row r="178" ht="30" customHeight="1">
      <c r="A178" s="4" t="n"/>
      <c r="B178" s="4" t="n"/>
      <c r="C178" s="4" t="n"/>
      <c r="D178" s="4" t="n"/>
      <c r="E178" s="4" t="n"/>
      <c r="F178" s="4" t="n"/>
    </row>
    <row r="179" ht="30" customHeight="1">
      <c r="A179" s="12" t="n"/>
      <c r="B179" s="12" t="n"/>
      <c r="C179" s="12" t="n"/>
      <c r="D179" s="12" t="n"/>
      <c r="E179" s="12" t="n"/>
      <c r="F179" s="12" t="n"/>
    </row>
    <row r="180" ht="30" customHeight="1">
      <c r="A180" s="4" t="n"/>
      <c r="B180" s="4" t="n"/>
      <c r="C180" s="4" t="n"/>
      <c r="D180" s="4" t="n"/>
      <c r="E180" s="4" t="n"/>
      <c r="F180" s="4" t="n"/>
    </row>
    <row r="181" ht="30" customHeight="1">
      <c r="A181" s="12" t="n"/>
      <c r="B181" s="12" t="n"/>
      <c r="C181" s="12" t="n"/>
      <c r="D181" s="12" t="n"/>
      <c r="E181" s="12" t="n"/>
      <c r="F181" s="12" t="n"/>
    </row>
    <row r="182" ht="30" customHeight="1">
      <c r="A182" s="4" t="n"/>
      <c r="B182" s="4" t="n"/>
      <c r="C182" s="4" t="n"/>
      <c r="D182" s="4" t="n"/>
      <c r="E182" s="4" t="n"/>
      <c r="F182" s="4" t="n"/>
    </row>
    <row r="183" ht="30" customHeight="1">
      <c r="A183" s="12" t="n"/>
      <c r="B183" s="12" t="n"/>
      <c r="C183" s="12" t="n"/>
      <c r="D183" s="12" t="n"/>
      <c r="E183" s="12" t="n"/>
      <c r="F183" s="12" t="n"/>
    </row>
    <row r="184" ht="30" customHeight="1">
      <c r="A184" s="4" t="n"/>
      <c r="B184" s="4" t="n"/>
      <c r="C184" s="4" t="n"/>
      <c r="D184" s="4" t="n"/>
      <c r="E184" s="4" t="n"/>
      <c r="F184" s="4" t="n"/>
    </row>
    <row r="185" ht="30" customHeight="1">
      <c r="A185" s="12" t="n"/>
      <c r="B185" s="12" t="n"/>
      <c r="C185" s="12" t="n"/>
      <c r="D185" s="12" t="n"/>
      <c r="E185" s="12" t="n"/>
      <c r="F185" s="12" t="n"/>
    </row>
    <row r="186" ht="30" customHeight="1">
      <c r="A186" s="4" t="n"/>
      <c r="B186" s="4" t="n"/>
      <c r="C186" s="4" t="n"/>
      <c r="D186" s="4" t="n"/>
      <c r="E186" s="4" t="n"/>
      <c r="F186" s="4" t="n"/>
    </row>
    <row r="187" ht="30" customHeight="1">
      <c r="A187" s="12" t="n"/>
      <c r="B187" s="12" t="n"/>
      <c r="C187" s="12" t="n"/>
      <c r="D187" s="12" t="n"/>
      <c r="E187" s="12" t="n"/>
      <c r="F187" s="12" t="n"/>
    </row>
    <row r="188" ht="30" customHeight="1">
      <c r="A188" s="4" t="n"/>
      <c r="B188" s="4" t="n"/>
      <c r="C188" s="4" t="n"/>
      <c r="D188" s="4" t="n"/>
      <c r="E188" s="4" t="n"/>
      <c r="F188" s="4" t="n"/>
    </row>
    <row r="189" ht="30" customHeight="1">
      <c r="A189" s="12" t="n"/>
      <c r="B189" s="12" t="n"/>
      <c r="C189" s="12" t="n"/>
      <c r="D189" s="12" t="n"/>
      <c r="E189" s="12" t="n"/>
      <c r="F189" s="12" t="n"/>
    </row>
    <row r="190" ht="30" customHeight="1">
      <c r="A190" s="4" t="n"/>
      <c r="B190" s="4" t="n"/>
      <c r="C190" s="4" t="n"/>
      <c r="D190" s="4" t="n"/>
      <c r="E190" s="4" t="n"/>
      <c r="F190" s="4" t="n"/>
    </row>
    <row r="191" ht="30" customHeight="1">
      <c r="A191" s="12" t="n"/>
      <c r="B191" s="12" t="n"/>
      <c r="C191" s="12" t="n"/>
      <c r="D191" s="12" t="n"/>
      <c r="E191" s="12" t="n"/>
      <c r="F191" s="12" t="n"/>
    </row>
    <row r="192" ht="30" customHeight="1">
      <c r="A192" s="4" t="n"/>
      <c r="B192" s="4" t="n"/>
      <c r="C192" s="4" t="n"/>
      <c r="D192" s="4" t="n"/>
      <c r="E192" s="4" t="n"/>
      <c r="F192" s="4" t="n"/>
    </row>
    <row r="193" ht="30" customHeight="1">
      <c r="A193" s="12" t="n"/>
      <c r="B193" s="12" t="n"/>
      <c r="C193" s="12" t="n"/>
      <c r="D193" s="12" t="n"/>
      <c r="E193" s="12" t="n"/>
      <c r="F193" s="12" t="n"/>
    </row>
    <row r="194" ht="30" customHeight="1">
      <c r="A194" s="4" t="n"/>
      <c r="B194" s="4" t="n"/>
      <c r="C194" s="4" t="n"/>
      <c r="D194" s="4" t="n"/>
      <c r="E194" s="4" t="n"/>
      <c r="F194" s="4" t="n"/>
    </row>
    <row r="195" ht="30" customHeight="1">
      <c r="A195" s="12" t="n"/>
      <c r="B195" s="12" t="n"/>
      <c r="C195" s="12" t="n"/>
      <c r="D195" s="12" t="n"/>
      <c r="E195" s="12" t="n"/>
      <c r="F195" s="12" t="n"/>
    </row>
    <row r="196" ht="30" customHeight="1">
      <c r="A196" s="4" t="n"/>
      <c r="B196" s="4" t="n"/>
      <c r="C196" s="4" t="n"/>
      <c r="D196" s="4" t="n"/>
      <c r="E196" s="4" t="n"/>
      <c r="F196" s="4" t="n"/>
    </row>
    <row r="197" ht="30" customHeight="1">
      <c r="A197" s="12" t="n"/>
      <c r="B197" s="12" t="n"/>
      <c r="C197" s="12" t="n"/>
      <c r="D197" s="12" t="n"/>
      <c r="E197" s="12" t="n"/>
      <c r="F197" s="12" t="n"/>
    </row>
    <row r="198" ht="30" customHeight="1">
      <c r="A198" s="4" t="n"/>
      <c r="B198" s="4" t="n"/>
      <c r="C198" s="4" t="n"/>
      <c r="D198" s="4" t="n"/>
      <c r="E198" s="4" t="n"/>
      <c r="F198" s="4" t="n"/>
    </row>
    <row r="199" ht="30" customHeight="1">
      <c r="A199" s="12" t="n"/>
      <c r="B199" s="12" t="n"/>
      <c r="C199" s="12" t="n"/>
      <c r="D199" s="12" t="n"/>
      <c r="E199" s="12" t="n"/>
      <c r="F199" s="12" t="n"/>
    </row>
    <row r="200" ht="30" customHeight="1">
      <c r="A200" s="4" t="n"/>
      <c r="B200" s="4" t="n"/>
      <c r="C200" s="4" t="n"/>
      <c r="D200" s="4" t="n"/>
      <c r="E200" s="4" t="n"/>
      <c r="F200" s="4" t="n"/>
    </row>
    <row r="201" ht="30" customHeight="1">
      <c r="A201" s="12" t="n"/>
      <c r="B201" s="12" t="n"/>
      <c r="C201" s="12" t="n"/>
      <c r="D201" s="12" t="n"/>
      <c r="E201" s="12" t="n"/>
      <c r="F201" s="12" t="n"/>
    </row>
    <row r="202" ht="30" customHeight="1">
      <c r="A202" s="4" t="n"/>
      <c r="B202" s="4" t="n"/>
      <c r="C202" s="4" t="n"/>
      <c r="D202" s="4" t="n"/>
      <c r="E202" s="4" t="n"/>
      <c r="F202" s="4" t="n"/>
    </row>
    <row r="203" ht="30" customHeight="1">
      <c r="A203" s="12" t="n"/>
      <c r="B203" s="12" t="n"/>
      <c r="C203" s="12" t="n"/>
      <c r="D203" s="12" t="n"/>
      <c r="E203" s="12" t="n"/>
      <c r="F203" s="12" t="n"/>
    </row>
    <row r="204" ht="30" customHeight="1">
      <c r="A204" s="4" t="n"/>
      <c r="B204" s="4" t="n"/>
      <c r="C204" s="4" t="n"/>
      <c r="D204" s="4" t="n"/>
      <c r="E204" s="4" t="n"/>
      <c r="F204" s="4" t="n"/>
    </row>
    <row r="205" ht="30" customHeight="1">
      <c r="A205" s="12" t="n"/>
      <c r="B205" s="12" t="n"/>
      <c r="C205" s="12" t="n"/>
      <c r="D205" s="12" t="n"/>
      <c r="E205" s="12" t="n"/>
      <c r="F205" s="12" t="n"/>
    </row>
    <row r="206" ht="30" customHeight="1">
      <c r="A206" s="4" t="n"/>
      <c r="B206" s="4" t="n"/>
      <c r="C206" s="4" t="n"/>
      <c r="D206" s="4" t="n"/>
      <c r="E206" s="4" t="n"/>
      <c r="F206" s="4" t="n"/>
    </row>
    <row r="207" ht="30" customHeight="1">
      <c r="A207" s="12" t="n"/>
      <c r="B207" s="12" t="n"/>
      <c r="C207" s="12" t="n"/>
      <c r="D207" s="12" t="n"/>
      <c r="E207" s="12" t="n"/>
      <c r="F207" s="12" t="n"/>
    </row>
  </sheetData>
  <mergeCells count="4">
    <mergeCell ref="A3:F3"/>
    <mergeCell ref="A2:F2"/>
    <mergeCell ref="A1:F1"/>
    <mergeCell ref="A5:F5"/>
  </mergeCells>
  <dataValidations count="2">
    <dataValidation sqref="A8:A207" showDropDown="0" showInputMessage="0" showErrorMessage="0" allowBlank="1" type="list">
      <formula1>=Listas!$L$5:$L$15</formula1>
    </dataValidation>
    <dataValidation sqref="E8:E207" showDropDown="0" showInputMessage="0" showErrorMessage="0" allowBlank="1" type="list">
      <formula1>=Listas!$H$5:$H$8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30" customWidth="1" min="3" max="3"/>
    <col width="38" customWidth="1" min="4" max="4"/>
    <col width="14" customWidth="1" min="5" max="5"/>
    <col width="12" customWidth="1" min="6" max="6"/>
    <col width="16" customWidth="1" min="7" max="7"/>
    <col width="24" customWidth="1" min="8" max="8"/>
    <col width="28" customWidth="1" min="9" max="9"/>
  </cols>
  <sheetData>
    <row r="1">
      <c r="A1" s="7" t="inlineStr">
        <is>
          <t>Indicadores de Desempenho (§10)</t>
        </is>
      </c>
    </row>
    <row r="2">
      <c r="A2" s="2" t="inlineStr">
        <is>
          <t>VAN-FOR-SGQ-001  |  Versão 1.0  |  Emissão 11/09/2026  |  SGQ Vanguarda (VAN-QUAL-001)  |  CONFIDENCIAL</t>
        </is>
      </c>
    </row>
    <row r="3">
      <c r="A3" s="2" t="inlineStr">
        <is>
          <t>Mínimo de 5 indicadores por processo, conforme o SGQ. Meta precisa ser número, não adjetivo: '95%' serve, 'alta' não.</t>
        </is>
      </c>
    </row>
    <row r="5" ht="30" customHeight="1">
      <c r="A5" s="8" t="inlineStr">
        <is>
          <t>COMO PREENCHER: escreva a partir da linha 9. A linha 8, em amarelo, é EXEMPLO — apague-a ou sobrescreva-a. Colunas com (*) são obrigatórias. Células em verde são calculadas automaticamente: não digite nelas.</t>
        </is>
      </c>
    </row>
    <row r="6">
      <c r="D6" s="9" t="inlineStr">
        <is>
          <t>como se calcula</t>
        </is>
      </c>
      <c r="F6" s="9" t="inlineStr">
        <is>
          <t>%, R$, dias, un.</t>
        </is>
      </c>
      <c r="I6" s="9" t="inlineStr">
        <is>
          <t>onde é revisado</t>
        </is>
      </c>
    </row>
    <row r="7" ht="42" customHeight="1">
      <c r="A7" s="10" t="inlineStr">
        <is>
          <t>Setor *</t>
        </is>
      </c>
      <c r="B7" s="10" t="inlineStr">
        <is>
          <t>Código do Processo *</t>
        </is>
      </c>
      <c r="C7" s="10" t="inlineStr">
        <is>
          <t>Indicador *</t>
        </is>
      </c>
      <c r="D7" s="10" t="inlineStr">
        <is>
          <t>Fórmula / Métrica *</t>
        </is>
      </c>
      <c r="E7" s="10" t="inlineStr">
        <is>
          <t>Meta numérica *</t>
        </is>
      </c>
      <c r="F7" s="10" t="inlineStr">
        <is>
          <t>Unidade *</t>
        </is>
      </c>
      <c r="G7" s="10" t="inlineStr">
        <is>
          <t>Frequência *</t>
        </is>
      </c>
      <c r="H7" s="10" t="inlineStr">
        <is>
          <t>Responsável *</t>
        </is>
      </c>
      <c r="I7" s="10" t="inlineStr">
        <is>
          <t>Ritual de acompanhamento *</t>
        </is>
      </c>
    </row>
    <row r="8" ht="30" customHeight="1">
      <c r="A8" s="11" t="inlineStr">
        <is>
          <t>Mídia Paga</t>
        </is>
      </c>
      <c r="B8" s="11" t="inlineStr">
        <is>
          <t>MID.01</t>
        </is>
      </c>
      <c r="C8" s="11" t="inlineStr">
        <is>
          <t>Aderência da verba veiculada</t>
        </is>
      </c>
      <c r="D8" s="11" t="inlineStr">
        <is>
          <t>(verba veiculada ÷ verba aprovada) × 100</t>
        </is>
      </c>
      <c r="E8" s="11" t="n">
        <v>95</v>
      </c>
      <c r="F8" s="11" t="inlineStr">
        <is>
          <t>%</t>
        </is>
      </c>
      <c r="G8" s="11" t="inlineStr">
        <is>
          <t>Mensal</t>
        </is>
      </c>
      <c r="H8" s="11" t="inlineStr">
        <is>
          <t>Supervisor de Mídia Paga</t>
        </is>
      </c>
      <c r="I8" s="11" t="inlineStr">
        <is>
          <t>Reunião mensal de operações</t>
        </is>
      </c>
    </row>
    <row r="9" ht="30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 ht="3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 ht="30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 ht="30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 ht="30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 ht="30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 ht="30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 ht="30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 ht="30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 ht="30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 ht="30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 ht="30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 ht="30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</row>
    <row r="34" ht="3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 ht="30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</row>
    <row r="36" ht="3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 ht="30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</row>
    <row r="38" ht="3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 ht="30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</row>
    <row r="40" ht="3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 ht="30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</row>
    <row r="42" ht="3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 ht="30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</row>
    <row r="44" ht="3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 ht="30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</row>
    <row r="46" ht="3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 ht="30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</row>
    <row r="48" ht="3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 ht="30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</row>
    <row r="50" ht="3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 ht="30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</row>
    <row r="52" ht="3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 ht="30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</row>
    <row r="54" ht="3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 ht="30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</row>
    <row r="56" ht="3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 ht="30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</row>
    <row r="58" ht="3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 ht="30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</row>
    <row r="60" ht="3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 ht="30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</row>
    <row r="62" ht="3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 ht="30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</row>
    <row r="64" ht="3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 ht="30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</row>
    <row r="66" ht="3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 ht="30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</row>
    <row r="68" ht="30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 ht="30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</row>
    <row r="70" ht="30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 ht="30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</row>
    <row r="72" ht="30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 ht="30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</row>
    <row r="74" ht="30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 ht="30" customHeight="1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</row>
    <row r="76" ht="30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 ht="30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</row>
    <row r="78" ht="30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 ht="30" customHeight="1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</row>
    <row r="80" ht="30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 ht="30" customHeight="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</row>
    <row r="82" ht="30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 ht="30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</row>
    <row r="84" ht="30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 ht="30" customHeight="1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</row>
    <row r="86" ht="30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 ht="30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</row>
    <row r="88" ht="30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 ht="30" customHeight="1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</row>
    <row r="90" ht="30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 ht="30" customHeight="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</row>
    <row r="92" ht="30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 ht="30" customHeight="1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</row>
    <row r="94" ht="30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 ht="30" customHeight="1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</row>
    <row r="96" ht="30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 ht="30" customHeight="1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</row>
    <row r="98" ht="30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 ht="30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</row>
    <row r="100" ht="30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 ht="30" customHeight="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</row>
    <row r="102" ht="30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 ht="30" customHeight="1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</row>
    <row r="104" ht="30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 ht="30" customHeight="1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</row>
    <row r="106" ht="30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 ht="30" customHeight="1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</row>
    <row r="108" ht="30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 ht="30" customHeight="1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</row>
    <row r="110" ht="30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 ht="30" customHeight="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</row>
    <row r="112" ht="30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 ht="30" customHeight="1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</row>
    <row r="114" ht="30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 ht="30" customHeight="1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</row>
    <row r="116" ht="30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 ht="30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</row>
    <row r="118" ht="30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 ht="30" customHeight="1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</row>
    <row r="120" ht="30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 ht="30" customHeight="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</row>
    <row r="122" ht="30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 ht="30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</row>
    <row r="124" ht="30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 ht="30" customHeight="1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</row>
    <row r="126" ht="30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 ht="30" customHeight="1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</row>
    <row r="128" ht="30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 ht="30" customHeight="1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</row>
    <row r="130" ht="30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 ht="30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</row>
    <row r="132" ht="30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 ht="30" customHeight="1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</row>
    <row r="134" ht="30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 ht="30" customHeight="1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</row>
    <row r="136" ht="30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 ht="30" customHeight="1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</row>
    <row r="138" ht="30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 ht="30" customHeight="1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</row>
    <row r="140" ht="30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 ht="30" customHeight="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</row>
    <row r="142" ht="30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 ht="30" customHeight="1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</row>
    <row r="144" ht="30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 ht="30" customHeight="1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</row>
    <row r="146" ht="30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 ht="30" customHeight="1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</row>
    <row r="148" ht="30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 ht="30" customHeight="1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</row>
    <row r="150" ht="30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 ht="30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</row>
    <row r="152" ht="30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 ht="30" customHeight="1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</row>
    <row r="154" ht="30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 ht="30" customHeight="1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</row>
    <row r="156" ht="30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 ht="30" customHeight="1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</row>
    <row r="158" ht="30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 ht="30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</row>
    <row r="160" ht="30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 ht="30" customHeight="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</row>
    <row r="162" ht="30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 ht="30" customHeight="1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</row>
    <row r="164" ht="30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 ht="30" customHeight="1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</row>
    <row r="166" ht="30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 ht="30" customHeight="1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</row>
    <row r="168" ht="30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 ht="30" customHeight="1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</row>
    <row r="170" ht="30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 ht="30" customHeight="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</row>
    <row r="172" ht="30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 ht="30" customHeight="1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</row>
    <row r="174" ht="30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 ht="30" customHeight="1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</row>
    <row r="176" ht="30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 ht="30" customHeight="1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</row>
    <row r="178" ht="30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 ht="30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</row>
    <row r="180" ht="30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 ht="30" customHeight="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</row>
    <row r="182" ht="30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 ht="30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</row>
    <row r="184" ht="30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 ht="30" customHeight="1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</row>
    <row r="186" ht="30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 ht="30" customHeight="1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</row>
    <row r="188" ht="30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 ht="30" customHeight="1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</row>
    <row r="190" ht="30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 ht="30" customHeight="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</row>
    <row r="192" ht="30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 ht="30" customHeight="1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</row>
    <row r="194" ht="30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 ht="30" customHeight="1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</row>
    <row r="196" ht="30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 ht="30" customHeight="1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</row>
    <row r="198" ht="30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 ht="30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</row>
    <row r="200" ht="30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 ht="30" customHeight="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</row>
    <row r="202" ht="30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</row>
    <row r="203" ht="30" customHeight="1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</row>
    <row r="204" ht="30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</row>
    <row r="205" ht="30" customHeight="1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</row>
    <row r="206" ht="30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</row>
    <row r="207" ht="30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</row>
  </sheetData>
  <mergeCells count="4">
    <mergeCell ref="A1:I1"/>
    <mergeCell ref="A5:I5"/>
    <mergeCell ref="A3:I3"/>
    <mergeCell ref="A2:I2"/>
  </mergeCells>
  <dataValidations count="2">
    <dataValidation sqref="A8:A207" showDropDown="0" showInputMessage="0" showErrorMessage="0" allowBlank="1" type="list">
      <formula1>=Listas!$L$5:$L$15</formula1>
    </dataValidation>
    <dataValidation sqref="G8:G207" showDropDown="0" showInputMessage="0" showErrorMessage="0" allowBlank="1" type="list">
      <formula1>=Listas!$B$5:$B$12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8" customWidth="1" min="3" max="3"/>
    <col width="40" customWidth="1" min="4" max="4"/>
    <col width="18" customWidth="1" min="5" max="5"/>
    <col width="12" customWidth="1" min="6" max="6"/>
    <col width="12" customWidth="1" min="7" max="7"/>
    <col width="10" customWidth="1" min="8" max="8"/>
    <col width="18" customWidth="1" min="9" max="9"/>
    <col width="32" customWidth="1" min="10" max="10"/>
    <col width="12" customWidth="1" min="11" max="11"/>
    <col width="34" customWidth="1" min="12" max="12"/>
  </cols>
  <sheetData>
    <row r="1">
      <c r="A1" s="7" t="inlineStr">
        <is>
          <t>Riscos do Processo — COSO ERM (§11)</t>
        </is>
      </c>
    </row>
    <row r="2">
      <c r="A2" s="2" t="inlineStr">
        <is>
          <t>VAN-FOR-SGQ-001  |  Versão 1.0  |  Emissão 11/09/2026  |  SGQ Vanguarda (VAN-QUAL-001)  |  CONFIDENCIAL</t>
        </is>
      </c>
    </row>
    <row r="3">
      <c r="A3" s="2" t="inlineStr">
        <is>
          <t>Mínimo de 5 riscos por processo. NR e Classificação são calculados: NR ≥ 6 exige ação imediata, 4 a 5 monitoramento, até 3 aceitável.</t>
        </is>
      </c>
    </row>
    <row r="5" ht="30" customHeight="1">
      <c r="A5" s="8" t="inlineStr">
        <is>
          <t>COMO PREENCHER: escreva a partir da linha 9. A linha 8, em amarelo, é EXEMPLO — apague-a ou sobrescreva-a. Colunas com (*) são obrigatórias. Células em verde são calculadas automaticamente: não digite nelas.</t>
        </is>
      </c>
    </row>
    <row r="6">
      <c r="H6" s="9" t="inlineStr">
        <is>
          <t>calculado</t>
        </is>
      </c>
      <c r="I6" s="9" t="inlineStr">
        <is>
          <t>calculado</t>
        </is>
      </c>
      <c r="K6" s="9" t="inlineStr">
        <is>
          <t>Alta/Média/Baixa</t>
        </is>
      </c>
    </row>
    <row r="7" ht="42" customHeight="1">
      <c r="A7" s="10" t="inlineStr">
        <is>
          <t>Setor *</t>
        </is>
      </c>
      <c r="B7" s="10" t="inlineStr">
        <is>
          <t>Código do Processo *</t>
        </is>
      </c>
      <c r="C7" s="10" t="inlineStr">
        <is>
          <t>Nº *</t>
        </is>
      </c>
      <c r="D7" s="10" t="inlineStr">
        <is>
          <t>Risco *</t>
        </is>
      </c>
      <c r="E7" s="10" t="inlineStr">
        <is>
          <t>Categoria COSO *</t>
        </is>
      </c>
      <c r="F7" s="10" t="inlineStr">
        <is>
          <t>Probabilidade (1-3) *</t>
        </is>
      </c>
      <c r="G7" s="10" t="inlineStr">
        <is>
          <t>Impacto (1-3) *</t>
        </is>
      </c>
      <c r="H7" s="10" t="inlineStr">
        <is>
          <t>NR (P×I)</t>
        </is>
      </c>
      <c r="I7" s="10" t="inlineStr">
        <is>
          <t>Classificação</t>
        </is>
      </c>
      <c r="J7" s="10" t="inlineStr">
        <is>
          <t>Controle existente *</t>
        </is>
      </c>
      <c r="K7" s="10" t="inlineStr">
        <is>
          <t>Eficácia *</t>
        </is>
      </c>
      <c r="L7" s="10" t="inlineStr">
        <is>
          <t>Plano de ação *</t>
        </is>
      </c>
    </row>
    <row r="8" ht="30" customHeight="1">
      <c r="A8" s="11" t="inlineStr">
        <is>
          <t>Mídia Paga</t>
        </is>
      </c>
      <c r="B8" s="11" t="inlineStr">
        <is>
          <t>MID.01</t>
        </is>
      </c>
      <c r="C8" s="11" t="n">
        <v>1</v>
      </c>
      <c r="D8" s="11" t="inlineStr">
        <is>
          <t>Verba veiculada acima do aprovado sem aditivo</t>
        </is>
      </c>
      <c r="E8" s="11" t="inlineStr">
        <is>
          <t>Financeiro</t>
        </is>
      </c>
      <c r="F8" s="11" t="n">
        <v>2</v>
      </c>
      <c r="G8" s="11" t="n">
        <v>3</v>
      </c>
      <c r="H8" s="13">
        <f>IF(OR($F8="",$G8=""),"",$F8*$G8)</f>
        <v/>
      </c>
      <c r="I8" s="13">
        <f>IF($H8="","",IF($H8&gt;=6,"Ação imediata",IF($H8&gt;=4,"Monitoramento","Aceitável")))</f>
        <v/>
      </c>
      <c r="J8" s="11" t="inlineStr">
        <is>
          <t>Conferência semanal do painel de verba</t>
        </is>
      </c>
      <c r="K8" s="11" t="inlineStr">
        <is>
          <t>Média</t>
        </is>
      </c>
      <c r="L8" s="11" t="inlineStr">
        <is>
          <t>Automatizar alerta de estouro na Nekt</t>
        </is>
      </c>
    </row>
    <row r="9" ht="30" customHeight="1">
      <c r="A9" s="12" t="n"/>
      <c r="B9" s="12" t="n"/>
      <c r="C9" s="12" t="n"/>
      <c r="D9" s="12" t="n"/>
      <c r="E9" s="12" t="n"/>
      <c r="F9" s="12" t="n"/>
      <c r="G9" s="12" t="n"/>
      <c r="H9" s="13">
        <f>IF(OR($F9="",$G9=""),"",$F9*$G9)</f>
        <v/>
      </c>
      <c r="I9" s="13">
        <f>IF($H9="","",IF($H9&gt;=6,"Ação imediata",IF($H9&gt;=4,"Monitoramento","Aceitável")))</f>
        <v/>
      </c>
      <c r="J9" s="12" t="n"/>
      <c r="K9" s="12" t="n"/>
      <c r="L9" s="12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13">
        <f>IF(OR($F10="",$G10=""),"",$F10*$G10)</f>
        <v/>
      </c>
      <c r="I10" s="13">
        <f>IF($H10="","",IF($H10&gt;=6,"Ação imediata",IF($H10&gt;=4,"Monitoramento","Aceitável")))</f>
        <v/>
      </c>
      <c r="J10" s="4" t="n"/>
      <c r="K10" s="4" t="n"/>
      <c r="L10" s="4" t="n"/>
    </row>
    <row r="11" ht="30" customHeight="1">
      <c r="A11" s="12" t="n"/>
      <c r="B11" s="12" t="n"/>
      <c r="C11" s="12" t="n"/>
      <c r="D11" s="12" t="n"/>
      <c r="E11" s="12" t="n"/>
      <c r="F11" s="12" t="n"/>
      <c r="G11" s="12" t="n"/>
      <c r="H11" s="13">
        <f>IF(OR($F11="",$G11=""),"",$F11*$G11)</f>
        <v/>
      </c>
      <c r="I11" s="13">
        <f>IF($H11="","",IF($H11&gt;=6,"Ação imediata",IF($H11&gt;=4,"Monitoramento","Aceitável")))</f>
        <v/>
      </c>
      <c r="J11" s="12" t="n"/>
      <c r="K11" s="12" t="n"/>
      <c r="L11" s="12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13">
        <f>IF(OR($F12="",$G12=""),"",$F12*$G12)</f>
        <v/>
      </c>
      <c r="I12" s="13">
        <f>IF($H12="","",IF($H12&gt;=6,"Ação imediata",IF($H12&gt;=4,"Monitoramento","Aceitável")))</f>
        <v/>
      </c>
      <c r="J12" s="4" t="n"/>
      <c r="K12" s="4" t="n"/>
      <c r="L12" s="4" t="n"/>
    </row>
    <row r="13" ht="30" customHeight="1">
      <c r="A13" s="12" t="n"/>
      <c r="B13" s="12" t="n"/>
      <c r="C13" s="12" t="n"/>
      <c r="D13" s="12" t="n"/>
      <c r="E13" s="12" t="n"/>
      <c r="F13" s="12" t="n"/>
      <c r="G13" s="12" t="n"/>
      <c r="H13" s="13">
        <f>IF(OR($F13="",$G13=""),"",$F13*$G13)</f>
        <v/>
      </c>
      <c r="I13" s="13">
        <f>IF($H13="","",IF($H13&gt;=6,"Ação imediata",IF($H13&gt;=4,"Monitoramento","Aceitável")))</f>
        <v/>
      </c>
      <c r="J13" s="12" t="n"/>
      <c r="K13" s="12" t="n"/>
      <c r="L13" s="12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13">
        <f>IF(OR($F14="",$G14=""),"",$F14*$G14)</f>
        <v/>
      </c>
      <c r="I14" s="13">
        <f>IF($H14="","",IF($H14&gt;=6,"Ação imediata",IF($H14&gt;=4,"Monitoramento","Aceitável")))</f>
        <v/>
      </c>
      <c r="J14" s="4" t="n"/>
      <c r="K14" s="4" t="n"/>
      <c r="L14" s="4" t="n"/>
    </row>
    <row r="15" ht="30" customHeight="1">
      <c r="A15" s="12" t="n"/>
      <c r="B15" s="12" t="n"/>
      <c r="C15" s="12" t="n"/>
      <c r="D15" s="12" t="n"/>
      <c r="E15" s="12" t="n"/>
      <c r="F15" s="12" t="n"/>
      <c r="G15" s="12" t="n"/>
      <c r="H15" s="13">
        <f>IF(OR($F15="",$G15=""),"",$F15*$G15)</f>
        <v/>
      </c>
      <c r="I15" s="13">
        <f>IF($H15="","",IF($H15&gt;=6,"Ação imediata",IF($H15&gt;=4,"Monitoramento","Aceitável")))</f>
        <v/>
      </c>
      <c r="J15" s="12" t="n"/>
      <c r="K15" s="12" t="n"/>
      <c r="L15" s="12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13">
        <f>IF(OR($F16="",$G16=""),"",$F16*$G16)</f>
        <v/>
      </c>
      <c r="I16" s="13">
        <f>IF($H16="","",IF($H16&gt;=6,"Ação imediata",IF($H16&gt;=4,"Monitoramento","Aceitável")))</f>
        <v/>
      </c>
      <c r="J16" s="4" t="n"/>
      <c r="K16" s="4" t="n"/>
      <c r="L16" s="4" t="n"/>
    </row>
    <row r="17" ht="30" customHeight="1">
      <c r="A17" s="12" t="n"/>
      <c r="B17" s="12" t="n"/>
      <c r="C17" s="12" t="n"/>
      <c r="D17" s="12" t="n"/>
      <c r="E17" s="12" t="n"/>
      <c r="F17" s="12" t="n"/>
      <c r="G17" s="12" t="n"/>
      <c r="H17" s="13">
        <f>IF(OR($F17="",$G17=""),"",$F17*$G17)</f>
        <v/>
      </c>
      <c r="I17" s="13">
        <f>IF($H17="","",IF($H17&gt;=6,"Ação imediata",IF($H17&gt;=4,"Monitoramento","Aceitável")))</f>
        <v/>
      </c>
      <c r="J17" s="12" t="n"/>
      <c r="K17" s="12" t="n"/>
      <c r="L17" s="12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13">
        <f>IF(OR($F18="",$G18=""),"",$F18*$G18)</f>
        <v/>
      </c>
      <c r="I18" s="13">
        <f>IF($H18="","",IF($H18&gt;=6,"Ação imediata",IF($H18&gt;=4,"Monitoramento","Aceitável")))</f>
        <v/>
      </c>
      <c r="J18" s="4" t="n"/>
      <c r="K18" s="4" t="n"/>
      <c r="L18" s="4" t="n"/>
    </row>
    <row r="19" ht="30" customHeight="1">
      <c r="A19" s="12" t="n"/>
      <c r="B19" s="12" t="n"/>
      <c r="C19" s="12" t="n"/>
      <c r="D19" s="12" t="n"/>
      <c r="E19" s="12" t="n"/>
      <c r="F19" s="12" t="n"/>
      <c r="G19" s="12" t="n"/>
      <c r="H19" s="13">
        <f>IF(OR($F19="",$G19=""),"",$F19*$G19)</f>
        <v/>
      </c>
      <c r="I19" s="13">
        <f>IF($H19="","",IF($H19&gt;=6,"Ação imediata",IF($H19&gt;=4,"Monitoramento","Aceitável")))</f>
        <v/>
      </c>
      <c r="J19" s="12" t="n"/>
      <c r="K19" s="12" t="n"/>
      <c r="L19" s="12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13">
        <f>IF(OR($F20="",$G20=""),"",$F20*$G20)</f>
        <v/>
      </c>
      <c r="I20" s="13">
        <f>IF($H20="","",IF($H20&gt;=6,"Ação imediata",IF($H20&gt;=4,"Monitoramento","Aceitável")))</f>
        <v/>
      </c>
      <c r="J20" s="4" t="n"/>
      <c r="K20" s="4" t="n"/>
      <c r="L20" s="4" t="n"/>
    </row>
    <row r="21" ht="30" customHeight="1">
      <c r="A21" s="12" t="n"/>
      <c r="B21" s="12" t="n"/>
      <c r="C21" s="12" t="n"/>
      <c r="D21" s="12" t="n"/>
      <c r="E21" s="12" t="n"/>
      <c r="F21" s="12" t="n"/>
      <c r="G21" s="12" t="n"/>
      <c r="H21" s="13">
        <f>IF(OR($F21="",$G21=""),"",$F21*$G21)</f>
        <v/>
      </c>
      <c r="I21" s="13">
        <f>IF($H21="","",IF($H21&gt;=6,"Ação imediata",IF($H21&gt;=4,"Monitoramento","Aceitável")))</f>
        <v/>
      </c>
      <c r="J21" s="12" t="n"/>
      <c r="K21" s="12" t="n"/>
      <c r="L21" s="12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13">
        <f>IF(OR($F22="",$G22=""),"",$F22*$G22)</f>
        <v/>
      </c>
      <c r="I22" s="13">
        <f>IF($H22="","",IF($H22&gt;=6,"Ação imediata",IF($H22&gt;=4,"Monitoramento","Aceitável")))</f>
        <v/>
      </c>
      <c r="J22" s="4" t="n"/>
      <c r="K22" s="4" t="n"/>
      <c r="L22" s="4" t="n"/>
    </row>
    <row r="23" ht="30" customHeight="1">
      <c r="A23" s="12" t="n"/>
      <c r="B23" s="12" t="n"/>
      <c r="C23" s="12" t="n"/>
      <c r="D23" s="12" t="n"/>
      <c r="E23" s="12" t="n"/>
      <c r="F23" s="12" t="n"/>
      <c r="G23" s="12" t="n"/>
      <c r="H23" s="13">
        <f>IF(OR($F23="",$G23=""),"",$F23*$G23)</f>
        <v/>
      </c>
      <c r="I23" s="13">
        <f>IF($H23="","",IF($H23&gt;=6,"Ação imediata",IF($H23&gt;=4,"Monitoramento","Aceitável")))</f>
        <v/>
      </c>
      <c r="J23" s="12" t="n"/>
      <c r="K23" s="12" t="n"/>
      <c r="L23" s="12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13">
        <f>IF(OR($F24="",$G24=""),"",$F24*$G24)</f>
        <v/>
      </c>
      <c r="I24" s="13">
        <f>IF($H24="","",IF($H24&gt;=6,"Ação imediata",IF($H24&gt;=4,"Monitoramento","Aceitável")))</f>
        <v/>
      </c>
      <c r="J24" s="4" t="n"/>
      <c r="K24" s="4" t="n"/>
      <c r="L24" s="4" t="n"/>
    </row>
    <row r="25" ht="30" customHeight="1">
      <c r="A25" s="12" t="n"/>
      <c r="B25" s="12" t="n"/>
      <c r="C25" s="12" t="n"/>
      <c r="D25" s="12" t="n"/>
      <c r="E25" s="12" t="n"/>
      <c r="F25" s="12" t="n"/>
      <c r="G25" s="12" t="n"/>
      <c r="H25" s="13">
        <f>IF(OR($F25="",$G25=""),"",$F25*$G25)</f>
        <v/>
      </c>
      <c r="I25" s="13">
        <f>IF($H25="","",IF($H25&gt;=6,"Ação imediata",IF($H25&gt;=4,"Monitoramento","Aceitável")))</f>
        <v/>
      </c>
      <c r="J25" s="12" t="n"/>
      <c r="K25" s="12" t="n"/>
      <c r="L25" s="12" t="n"/>
    </row>
    <row r="26" ht="30" customHeight="1">
      <c r="A26" s="4" t="n"/>
      <c r="B26" s="4" t="n"/>
      <c r="C26" s="4" t="n"/>
      <c r="D26" s="4" t="n"/>
      <c r="E26" s="4" t="n"/>
      <c r="F26" s="4" t="n"/>
      <c r="G26" s="4" t="n"/>
      <c r="H26" s="13">
        <f>IF(OR($F26="",$G26=""),"",$F26*$G26)</f>
        <v/>
      </c>
      <c r="I26" s="13">
        <f>IF($H26="","",IF($H26&gt;=6,"Ação imediata",IF($H26&gt;=4,"Monitoramento","Aceitável")))</f>
        <v/>
      </c>
      <c r="J26" s="4" t="n"/>
      <c r="K26" s="4" t="n"/>
      <c r="L26" s="4" t="n"/>
    </row>
    <row r="27" ht="30" customHeight="1">
      <c r="A27" s="12" t="n"/>
      <c r="B27" s="12" t="n"/>
      <c r="C27" s="12" t="n"/>
      <c r="D27" s="12" t="n"/>
      <c r="E27" s="12" t="n"/>
      <c r="F27" s="12" t="n"/>
      <c r="G27" s="12" t="n"/>
      <c r="H27" s="13">
        <f>IF(OR($F27="",$G27=""),"",$F27*$G27)</f>
        <v/>
      </c>
      <c r="I27" s="13">
        <f>IF($H27="","",IF($H27&gt;=6,"Ação imediata",IF($H27&gt;=4,"Monitoramento","Aceitável")))</f>
        <v/>
      </c>
      <c r="J27" s="12" t="n"/>
      <c r="K27" s="12" t="n"/>
      <c r="L27" s="12" t="n"/>
    </row>
    <row r="28" ht="30" customHeight="1">
      <c r="A28" s="4" t="n"/>
      <c r="B28" s="4" t="n"/>
      <c r="C28" s="4" t="n"/>
      <c r="D28" s="4" t="n"/>
      <c r="E28" s="4" t="n"/>
      <c r="F28" s="4" t="n"/>
      <c r="G28" s="4" t="n"/>
      <c r="H28" s="13">
        <f>IF(OR($F28="",$G28=""),"",$F28*$G28)</f>
        <v/>
      </c>
      <c r="I28" s="13">
        <f>IF($H28="","",IF($H28&gt;=6,"Ação imediata",IF($H28&gt;=4,"Monitoramento","Aceitável")))</f>
        <v/>
      </c>
      <c r="J28" s="4" t="n"/>
      <c r="K28" s="4" t="n"/>
      <c r="L28" s="4" t="n"/>
    </row>
    <row r="29" ht="30" customHeight="1">
      <c r="A29" s="12" t="n"/>
      <c r="B29" s="12" t="n"/>
      <c r="C29" s="12" t="n"/>
      <c r="D29" s="12" t="n"/>
      <c r="E29" s="12" t="n"/>
      <c r="F29" s="12" t="n"/>
      <c r="G29" s="12" t="n"/>
      <c r="H29" s="13">
        <f>IF(OR($F29="",$G29=""),"",$F29*$G29)</f>
        <v/>
      </c>
      <c r="I29" s="13">
        <f>IF($H29="","",IF($H29&gt;=6,"Ação imediata",IF($H29&gt;=4,"Monitoramento","Aceitável")))</f>
        <v/>
      </c>
      <c r="J29" s="12" t="n"/>
      <c r="K29" s="12" t="n"/>
      <c r="L29" s="12" t="n"/>
    </row>
    <row r="30" ht="30" customHeight="1">
      <c r="A30" s="4" t="n"/>
      <c r="B30" s="4" t="n"/>
      <c r="C30" s="4" t="n"/>
      <c r="D30" s="4" t="n"/>
      <c r="E30" s="4" t="n"/>
      <c r="F30" s="4" t="n"/>
      <c r="G30" s="4" t="n"/>
      <c r="H30" s="13">
        <f>IF(OR($F30="",$G30=""),"",$F30*$G30)</f>
        <v/>
      </c>
      <c r="I30" s="13">
        <f>IF($H30="","",IF($H30&gt;=6,"Ação imediata",IF($H30&gt;=4,"Monitoramento","Aceitável")))</f>
        <v/>
      </c>
      <c r="J30" s="4" t="n"/>
      <c r="K30" s="4" t="n"/>
      <c r="L30" s="4" t="n"/>
    </row>
    <row r="31" ht="30" customHeight="1">
      <c r="A31" s="12" t="n"/>
      <c r="B31" s="12" t="n"/>
      <c r="C31" s="12" t="n"/>
      <c r="D31" s="12" t="n"/>
      <c r="E31" s="12" t="n"/>
      <c r="F31" s="12" t="n"/>
      <c r="G31" s="12" t="n"/>
      <c r="H31" s="13">
        <f>IF(OR($F31="",$G31=""),"",$F31*$G31)</f>
        <v/>
      </c>
      <c r="I31" s="13">
        <f>IF($H31="","",IF($H31&gt;=6,"Ação imediata",IF($H31&gt;=4,"Monitoramento","Aceitável")))</f>
        <v/>
      </c>
      <c r="J31" s="12" t="n"/>
      <c r="K31" s="12" t="n"/>
      <c r="L31" s="12" t="n"/>
    </row>
    <row r="32" ht="30" customHeight="1">
      <c r="A32" s="4" t="n"/>
      <c r="B32" s="4" t="n"/>
      <c r="C32" s="4" t="n"/>
      <c r="D32" s="4" t="n"/>
      <c r="E32" s="4" t="n"/>
      <c r="F32" s="4" t="n"/>
      <c r="G32" s="4" t="n"/>
      <c r="H32" s="13">
        <f>IF(OR($F32="",$G32=""),"",$F32*$G32)</f>
        <v/>
      </c>
      <c r="I32" s="13">
        <f>IF($H32="","",IF($H32&gt;=6,"Ação imediata",IF($H32&gt;=4,"Monitoramento","Aceitável")))</f>
        <v/>
      </c>
      <c r="J32" s="4" t="n"/>
      <c r="K32" s="4" t="n"/>
      <c r="L32" s="4" t="n"/>
    </row>
    <row r="33" ht="30" customHeight="1">
      <c r="A33" s="12" t="n"/>
      <c r="B33" s="12" t="n"/>
      <c r="C33" s="12" t="n"/>
      <c r="D33" s="12" t="n"/>
      <c r="E33" s="12" t="n"/>
      <c r="F33" s="12" t="n"/>
      <c r="G33" s="12" t="n"/>
      <c r="H33" s="13">
        <f>IF(OR($F33="",$G33=""),"",$F33*$G33)</f>
        <v/>
      </c>
      <c r="I33" s="13">
        <f>IF($H33="","",IF($H33&gt;=6,"Ação imediata",IF($H33&gt;=4,"Monitoramento","Aceitável")))</f>
        <v/>
      </c>
      <c r="J33" s="12" t="n"/>
      <c r="K33" s="12" t="n"/>
      <c r="L33" s="12" t="n"/>
    </row>
    <row r="34" ht="30" customHeight="1">
      <c r="A34" s="4" t="n"/>
      <c r="B34" s="4" t="n"/>
      <c r="C34" s="4" t="n"/>
      <c r="D34" s="4" t="n"/>
      <c r="E34" s="4" t="n"/>
      <c r="F34" s="4" t="n"/>
      <c r="G34" s="4" t="n"/>
      <c r="H34" s="13">
        <f>IF(OR($F34="",$G34=""),"",$F34*$G34)</f>
        <v/>
      </c>
      <c r="I34" s="13">
        <f>IF($H34="","",IF($H34&gt;=6,"Ação imediata",IF($H34&gt;=4,"Monitoramento","Aceitável")))</f>
        <v/>
      </c>
      <c r="J34" s="4" t="n"/>
      <c r="K34" s="4" t="n"/>
      <c r="L34" s="4" t="n"/>
    </row>
    <row r="35" ht="30" customHeight="1">
      <c r="A35" s="12" t="n"/>
      <c r="B35" s="12" t="n"/>
      <c r="C35" s="12" t="n"/>
      <c r="D35" s="12" t="n"/>
      <c r="E35" s="12" t="n"/>
      <c r="F35" s="12" t="n"/>
      <c r="G35" s="12" t="n"/>
      <c r="H35" s="13">
        <f>IF(OR($F35="",$G35=""),"",$F35*$G35)</f>
        <v/>
      </c>
      <c r="I35" s="13">
        <f>IF($H35="","",IF($H35&gt;=6,"Ação imediata",IF($H35&gt;=4,"Monitoramento","Aceitável")))</f>
        <v/>
      </c>
      <c r="J35" s="12" t="n"/>
      <c r="K35" s="12" t="n"/>
      <c r="L35" s="12" t="n"/>
    </row>
    <row r="36" ht="30" customHeight="1">
      <c r="A36" s="4" t="n"/>
      <c r="B36" s="4" t="n"/>
      <c r="C36" s="4" t="n"/>
      <c r="D36" s="4" t="n"/>
      <c r="E36" s="4" t="n"/>
      <c r="F36" s="4" t="n"/>
      <c r="G36" s="4" t="n"/>
      <c r="H36" s="13">
        <f>IF(OR($F36="",$G36=""),"",$F36*$G36)</f>
        <v/>
      </c>
      <c r="I36" s="13">
        <f>IF($H36="","",IF($H36&gt;=6,"Ação imediata",IF($H36&gt;=4,"Monitoramento","Aceitável")))</f>
        <v/>
      </c>
      <c r="J36" s="4" t="n"/>
      <c r="K36" s="4" t="n"/>
      <c r="L36" s="4" t="n"/>
    </row>
    <row r="37" ht="30" customHeight="1">
      <c r="A37" s="12" t="n"/>
      <c r="B37" s="12" t="n"/>
      <c r="C37" s="12" t="n"/>
      <c r="D37" s="12" t="n"/>
      <c r="E37" s="12" t="n"/>
      <c r="F37" s="12" t="n"/>
      <c r="G37" s="12" t="n"/>
      <c r="H37" s="13">
        <f>IF(OR($F37="",$G37=""),"",$F37*$G37)</f>
        <v/>
      </c>
      <c r="I37" s="13">
        <f>IF($H37="","",IF($H37&gt;=6,"Ação imediata",IF($H37&gt;=4,"Monitoramento","Aceitável")))</f>
        <v/>
      </c>
      <c r="J37" s="12" t="n"/>
      <c r="K37" s="12" t="n"/>
      <c r="L37" s="12" t="n"/>
    </row>
    <row r="38" ht="30" customHeight="1">
      <c r="A38" s="4" t="n"/>
      <c r="B38" s="4" t="n"/>
      <c r="C38" s="4" t="n"/>
      <c r="D38" s="4" t="n"/>
      <c r="E38" s="4" t="n"/>
      <c r="F38" s="4" t="n"/>
      <c r="G38" s="4" t="n"/>
      <c r="H38" s="13">
        <f>IF(OR($F38="",$G38=""),"",$F38*$G38)</f>
        <v/>
      </c>
      <c r="I38" s="13">
        <f>IF($H38="","",IF($H38&gt;=6,"Ação imediata",IF($H38&gt;=4,"Monitoramento","Aceitável")))</f>
        <v/>
      </c>
      <c r="J38" s="4" t="n"/>
      <c r="K38" s="4" t="n"/>
      <c r="L38" s="4" t="n"/>
    </row>
    <row r="39" ht="30" customHeight="1">
      <c r="A39" s="12" t="n"/>
      <c r="B39" s="12" t="n"/>
      <c r="C39" s="12" t="n"/>
      <c r="D39" s="12" t="n"/>
      <c r="E39" s="12" t="n"/>
      <c r="F39" s="12" t="n"/>
      <c r="G39" s="12" t="n"/>
      <c r="H39" s="13">
        <f>IF(OR($F39="",$G39=""),"",$F39*$G39)</f>
        <v/>
      </c>
      <c r="I39" s="13">
        <f>IF($H39="","",IF($H39&gt;=6,"Ação imediata",IF($H39&gt;=4,"Monitoramento","Aceitável")))</f>
        <v/>
      </c>
      <c r="J39" s="12" t="n"/>
      <c r="K39" s="12" t="n"/>
      <c r="L39" s="12" t="n"/>
    </row>
    <row r="40" ht="30" customHeight="1">
      <c r="A40" s="4" t="n"/>
      <c r="B40" s="4" t="n"/>
      <c r="C40" s="4" t="n"/>
      <c r="D40" s="4" t="n"/>
      <c r="E40" s="4" t="n"/>
      <c r="F40" s="4" t="n"/>
      <c r="G40" s="4" t="n"/>
      <c r="H40" s="13">
        <f>IF(OR($F40="",$G40=""),"",$F40*$G40)</f>
        <v/>
      </c>
      <c r="I40" s="13">
        <f>IF($H40="","",IF($H40&gt;=6,"Ação imediata",IF($H40&gt;=4,"Monitoramento","Aceitável")))</f>
        <v/>
      </c>
      <c r="J40" s="4" t="n"/>
      <c r="K40" s="4" t="n"/>
      <c r="L40" s="4" t="n"/>
    </row>
    <row r="41" ht="30" customHeight="1">
      <c r="A41" s="12" t="n"/>
      <c r="B41" s="12" t="n"/>
      <c r="C41" s="12" t="n"/>
      <c r="D41" s="12" t="n"/>
      <c r="E41" s="12" t="n"/>
      <c r="F41" s="12" t="n"/>
      <c r="G41" s="12" t="n"/>
      <c r="H41" s="13">
        <f>IF(OR($F41="",$G41=""),"",$F41*$G41)</f>
        <v/>
      </c>
      <c r="I41" s="13">
        <f>IF($H41="","",IF($H41&gt;=6,"Ação imediata",IF($H41&gt;=4,"Monitoramento","Aceitável")))</f>
        <v/>
      </c>
      <c r="J41" s="12" t="n"/>
      <c r="K41" s="12" t="n"/>
      <c r="L41" s="12" t="n"/>
    </row>
    <row r="42" ht="30" customHeight="1">
      <c r="A42" s="4" t="n"/>
      <c r="B42" s="4" t="n"/>
      <c r="C42" s="4" t="n"/>
      <c r="D42" s="4" t="n"/>
      <c r="E42" s="4" t="n"/>
      <c r="F42" s="4" t="n"/>
      <c r="G42" s="4" t="n"/>
      <c r="H42" s="13">
        <f>IF(OR($F42="",$G42=""),"",$F42*$G42)</f>
        <v/>
      </c>
      <c r="I42" s="13">
        <f>IF($H42="","",IF($H42&gt;=6,"Ação imediata",IF($H42&gt;=4,"Monitoramento","Aceitável")))</f>
        <v/>
      </c>
      <c r="J42" s="4" t="n"/>
      <c r="K42" s="4" t="n"/>
      <c r="L42" s="4" t="n"/>
    </row>
    <row r="43" ht="30" customHeight="1">
      <c r="A43" s="12" t="n"/>
      <c r="B43" s="12" t="n"/>
      <c r="C43" s="12" t="n"/>
      <c r="D43" s="12" t="n"/>
      <c r="E43" s="12" t="n"/>
      <c r="F43" s="12" t="n"/>
      <c r="G43" s="12" t="n"/>
      <c r="H43" s="13">
        <f>IF(OR($F43="",$G43=""),"",$F43*$G43)</f>
        <v/>
      </c>
      <c r="I43" s="13">
        <f>IF($H43="","",IF($H43&gt;=6,"Ação imediata",IF($H43&gt;=4,"Monitoramento","Aceitável")))</f>
        <v/>
      </c>
      <c r="J43" s="12" t="n"/>
      <c r="K43" s="12" t="n"/>
      <c r="L43" s="12" t="n"/>
    </row>
    <row r="44" ht="30" customHeight="1">
      <c r="A44" s="4" t="n"/>
      <c r="B44" s="4" t="n"/>
      <c r="C44" s="4" t="n"/>
      <c r="D44" s="4" t="n"/>
      <c r="E44" s="4" t="n"/>
      <c r="F44" s="4" t="n"/>
      <c r="G44" s="4" t="n"/>
      <c r="H44" s="13">
        <f>IF(OR($F44="",$G44=""),"",$F44*$G44)</f>
        <v/>
      </c>
      <c r="I44" s="13">
        <f>IF($H44="","",IF($H44&gt;=6,"Ação imediata",IF($H44&gt;=4,"Monitoramento","Aceitável")))</f>
        <v/>
      </c>
      <c r="J44" s="4" t="n"/>
      <c r="K44" s="4" t="n"/>
      <c r="L44" s="4" t="n"/>
    </row>
    <row r="45" ht="30" customHeight="1">
      <c r="A45" s="12" t="n"/>
      <c r="B45" s="12" t="n"/>
      <c r="C45" s="12" t="n"/>
      <c r="D45" s="12" t="n"/>
      <c r="E45" s="12" t="n"/>
      <c r="F45" s="12" t="n"/>
      <c r="G45" s="12" t="n"/>
      <c r="H45" s="13">
        <f>IF(OR($F45="",$G45=""),"",$F45*$G45)</f>
        <v/>
      </c>
      <c r="I45" s="13">
        <f>IF($H45="","",IF($H45&gt;=6,"Ação imediata",IF($H45&gt;=4,"Monitoramento","Aceitável")))</f>
        <v/>
      </c>
      <c r="J45" s="12" t="n"/>
      <c r="K45" s="12" t="n"/>
      <c r="L45" s="12" t="n"/>
    </row>
    <row r="46" ht="30" customHeight="1">
      <c r="A46" s="4" t="n"/>
      <c r="B46" s="4" t="n"/>
      <c r="C46" s="4" t="n"/>
      <c r="D46" s="4" t="n"/>
      <c r="E46" s="4" t="n"/>
      <c r="F46" s="4" t="n"/>
      <c r="G46" s="4" t="n"/>
      <c r="H46" s="13">
        <f>IF(OR($F46="",$G46=""),"",$F46*$G46)</f>
        <v/>
      </c>
      <c r="I46" s="13">
        <f>IF($H46="","",IF($H46&gt;=6,"Ação imediata",IF($H46&gt;=4,"Monitoramento","Aceitável")))</f>
        <v/>
      </c>
      <c r="J46" s="4" t="n"/>
      <c r="K46" s="4" t="n"/>
      <c r="L46" s="4" t="n"/>
    </row>
    <row r="47" ht="30" customHeight="1">
      <c r="A47" s="12" t="n"/>
      <c r="B47" s="12" t="n"/>
      <c r="C47" s="12" t="n"/>
      <c r="D47" s="12" t="n"/>
      <c r="E47" s="12" t="n"/>
      <c r="F47" s="12" t="n"/>
      <c r="G47" s="12" t="n"/>
      <c r="H47" s="13">
        <f>IF(OR($F47="",$G47=""),"",$F47*$G47)</f>
        <v/>
      </c>
      <c r="I47" s="13">
        <f>IF($H47="","",IF($H47&gt;=6,"Ação imediata",IF($H47&gt;=4,"Monitoramento","Aceitável")))</f>
        <v/>
      </c>
      <c r="J47" s="12" t="n"/>
      <c r="K47" s="12" t="n"/>
      <c r="L47" s="12" t="n"/>
    </row>
    <row r="48" ht="30" customHeight="1">
      <c r="A48" s="4" t="n"/>
      <c r="B48" s="4" t="n"/>
      <c r="C48" s="4" t="n"/>
      <c r="D48" s="4" t="n"/>
      <c r="E48" s="4" t="n"/>
      <c r="F48" s="4" t="n"/>
      <c r="G48" s="4" t="n"/>
      <c r="H48" s="13">
        <f>IF(OR($F48="",$G48=""),"",$F48*$G48)</f>
        <v/>
      </c>
      <c r="I48" s="13">
        <f>IF($H48="","",IF($H48&gt;=6,"Ação imediata",IF($H48&gt;=4,"Monitoramento","Aceitável")))</f>
        <v/>
      </c>
      <c r="J48" s="4" t="n"/>
      <c r="K48" s="4" t="n"/>
      <c r="L48" s="4" t="n"/>
    </row>
    <row r="49" ht="30" customHeight="1">
      <c r="A49" s="12" t="n"/>
      <c r="B49" s="12" t="n"/>
      <c r="C49" s="12" t="n"/>
      <c r="D49" s="12" t="n"/>
      <c r="E49" s="12" t="n"/>
      <c r="F49" s="12" t="n"/>
      <c r="G49" s="12" t="n"/>
      <c r="H49" s="13">
        <f>IF(OR($F49="",$G49=""),"",$F49*$G49)</f>
        <v/>
      </c>
      <c r="I49" s="13">
        <f>IF($H49="","",IF($H49&gt;=6,"Ação imediata",IF($H49&gt;=4,"Monitoramento","Aceitável")))</f>
        <v/>
      </c>
      <c r="J49" s="12" t="n"/>
      <c r="K49" s="12" t="n"/>
      <c r="L49" s="12" t="n"/>
    </row>
    <row r="50" ht="30" customHeight="1">
      <c r="A50" s="4" t="n"/>
      <c r="B50" s="4" t="n"/>
      <c r="C50" s="4" t="n"/>
      <c r="D50" s="4" t="n"/>
      <c r="E50" s="4" t="n"/>
      <c r="F50" s="4" t="n"/>
      <c r="G50" s="4" t="n"/>
      <c r="H50" s="13">
        <f>IF(OR($F50="",$G50=""),"",$F50*$G50)</f>
        <v/>
      </c>
      <c r="I50" s="13">
        <f>IF($H50="","",IF($H50&gt;=6,"Ação imediata",IF($H50&gt;=4,"Monitoramento","Aceitável")))</f>
        <v/>
      </c>
      <c r="J50" s="4" t="n"/>
      <c r="K50" s="4" t="n"/>
      <c r="L50" s="4" t="n"/>
    </row>
    <row r="51" ht="30" customHeight="1">
      <c r="A51" s="12" t="n"/>
      <c r="B51" s="12" t="n"/>
      <c r="C51" s="12" t="n"/>
      <c r="D51" s="12" t="n"/>
      <c r="E51" s="12" t="n"/>
      <c r="F51" s="12" t="n"/>
      <c r="G51" s="12" t="n"/>
      <c r="H51" s="13">
        <f>IF(OR($F51="",$G51=""),"",$F51*$G51)</f>
        <v/>
      </c>
      <c r="I51" s="13">
        <f>IF($H51="","",IF($H51&gt;=6,"Ação imediata",IF($H51&gt;=4,"Monitoramento","Aceitável")))</f>
        <v/>
      </c>
      <c r="J51" s="12" t="n"/>
      <c r="K51" s="12" t="n"/>
      <c r="L51" s="12" t="n"/>
    </row>
    <row r="52" ht="30" customHeight="1">
      <c r="A52" s="4" t="n"/>
      <c r="B52" s="4" t="n"/>
      <c r="C52" s="4" t="n"/>
      <c r="D52" s="4" t="n"/>
      <c r="E52" s="4" t="n"/>
      <c r="F52" s="4" t="n"/>
      <c r="G52" s="4" t="n"/>
      <c r="H52" s="13">
        <f>IF(OR($F52="",$G52=""),"",$F52*$G52)</f>
        <v/>
      </c>
      <c r="I52" s="13">
        <f>IF($H52="","",IF($H52&gt;=6,"Ação imediata",IF($H52&gt;=4,"Monitoramento","Aceitável")))</f>
        <v/>
      </c>
      <c r="J52" s="4" t="n"/>
      <c r="K52" s="4" t="n"/>
      <c r="L52" s="4" t="n"/>
    </row>
    <row r="53" ht="30" customHeight="1">
      <c r="A53" s="12" t="n"/>
      <c r="B53" s="12" t="n"/>
      <c r="C53" s="12" t="n"/>
      <c r="D53" s="12" t="n"/>
      <c r="E53" s="12" t="n"/>
      <c r="F53" s="12" t="n"/>
      <c r="G53" s="12" t="n"/>
      <c r="H53" s="13">
        <f>IF(OR($F53="",$G53=""),"",$F53*$G53)</f>
        <v/>
      </c>
      <c r="I53" s="13">
        <f>IF($H53="","",IF($H53&gt;=6,"Ação imediata",IF($H53&gt;=4,"Monitoramento","Aceitável")))</f>
        <v/>
      </c>
      <c r="J53" s="12" t="n"/>
      <c r="K53" s="12" t="n"/>
      <c r="L53" s="12" t="n"/>
    </row>
    <row r="54" ht="30" customHeight="1">
      <c r="A54" s="4" t="n"/>
      <c r="B54" s="4" t="n"/>
      <c r="C54" s="4" t="n"/>
      <c r="D54" s="4" t="n"/>
      <c r="E54" s="4" t="n"/>
      <c r="F54" s="4" t="n"/>
      <c r="G54" s="4" t="n"/>
      <c r="H54" s="13">
        <f>IF(OR($F54="",$G54=""),"",$F54*$G54)</f>
        <v/>
      </c>
      <c r="I54" s="13">
        <f>IF($H54="","",IF($H54&gt;=6,"Ação imediata",IF($H54&gt;=4,"Monitoramento","Aceitável")))</f>
        <v/>
      </c>
      <c r="J54" s="4" t="n"/>
      <c r="K54" s="4" t="n"/>
      <c r="L54" s="4" t="n"/>
    </row>
    <row r="55" ht="30" customHeight="1">
      <c r="A55" s="12" t="n"/>
      <c r="B55" s="12" t="n"/>
      <c r="C55" s="12" t="n"/>
      <c r="D55" s="12" t="n"/>
      <c r="E55" s="12" t="n"/>
      <c r="F55" s="12" t="n"/>
      <c r="G55" s="12" t="n"/>
      <c r="H55" s="13">
        <f>IF(OR($F55="",$G55=""),"",$F55*$G55)</f>
        <v/>
      </c>
      <c r="I55" s="13">
        <f>IF($H55="","",IF($H55&gt;=6,"Ação imediata",IF($H55&gt;=4,"Monitoramento","Aceitável")))</f>
        <v/>
      </c>
      <c r="J55" s="12" t="n"/>
      <c r="K55" s="12" t="n"/>
      <c r="L55" s="12" t="n"/>
    </row>
    <row r="56" ht="30" customHeight="1">
      <c r="A56" s="4" t="n"/>
      <c r="B56" s="4" t="n"/>
      <c r="C56" s="4" t="n"/>
      <c r="D56" s="4" t="n"/>
      <c r="E56" s="4" t="n"/>
      <c r="F56" s="4" t="n"/>
      <c r="G56" s="4" t="n"/>
      <c r="H56" s="13">
        <f>IF(OR($F56="",$G56=""),"",$F56*$G56)</f>
        <v/>
      </c>
      <c r="I56" s="13">
        <f>IF($H56="","",IF($H56&gt;=6,"Ação imediata",IF($H56&gt;=4,"Monitoramento","Aceitável")))</f>
        <v/>
      </c>
      <c r="J56" s="4" t="n"/>
      <c r="K56" s="4" t="n"/>
      <c r="L56" s="4" t="n"/>
    </row>
    <row r="57" ht="30" customHeight="1">
      <c r="A57" s="12" t="n"/>
      <c r="B57" s="12" t="n"/>
      <c r="C57" s="12" t="n"/>
      <c r="D57" s="12" t="n"/>
      <c r="E57" s="12" t="n"/>
      <c r="F57" s="12" t="n"/>
      <c r="G57" s="12" t="n"/>
      <c r="H57" s="13">
        <f>IF(OR($F57="",$G57=""),"",$F57*$G57)</f>
        <v/>
      </c>
      <c r="I57" s="13">
        <f>IF($H57="","",IF($H57&gt;=6,"Ação imediata",IF($H57&gt;=4,"Monitoramento","Aceitável")))</f>
        <v/>
      </c>
      <c r="J57" s="12" t="n"/>
      <c r="K57" s="12" t="n"/>
      <c r="L57" s="12" t="n"/>
    </row>
    <row r="58" ht="30" customHeight="1">
      <c r="A58" s="4" t="n"/>
      <c r="B58" s="4" t="n"/>
      <c r="C58" s="4" t="n"/>
      <c r="D58" s="4" t="n"/>
      <c r="E58" s="4" t="n"/>
      <c r="F58" s="4" t="n"/>
      <c r="G58" s="4" t="n"/>
      <c r="H58" s="13">
        <f>IF(OR($F58="",$G58=""),"",$F58*$G58)</f>
        <v/>
      </c>
      <c r="I58" s="13">
        <f>IF($H58="","",IF($H58&gt;=6,"Ação imediata",IF($H58&gt;=4,"Monitoramento","Aceitável")))</f>
        <v/>
      </c>
      <c r="J58" s="4" t="n"/>
      <c r="K58" s="4" t="n"/>
      <c r="L58" s="4" t="n"/>
    </row>
    <row r="59" ht="30" customHeight="1">
      <c r="A59" s="12" t="n"/>
      <c r="B59" s="12" t="n"/>
      <c r="C59" s="12" t="n"/>
      <c r="D59" s="12" t="n"/>
      <c r="E59" s="12" t="n"/>
      <c r="F59" s="12" t="n"/>
      <c r="G59" s="12" t="n"/>
      <c r="H59" s="13">
        <f>IF(OR($F59="",$G59=""),"",$F59*$G59)</f>
        <v/>
      </c>
      <c r="I59" s="13">
        <f>IF($H59="","",IF($H59&gt;=6,"Ação imediata",IF($H59&gt;=4,"Monitoramento","Aceitável")))</f>
        <v/>
      </c>
      <c r="J59" s="12" t="n"/>
      <c r="K59" s="12" t="n"/>
      <c r="L59" s="12" t="n"/>
    </row>
    <row r="60" ht="30" customHeight="1">
      <c r="A60" s="4" t="n"/>
      <c r="B60" s="4" t="n"/>
      <c r="C60" s="4" t="n"/>
      <c r="D60" s="4" t="n"/>
      <c r="E60" s="4" t="n"/>
      <c r="F60" s="4" t="n"/>
      <c r="G60" s="4" t="n"/>
      <c r="H60" s="13">
        <f>IF(OR($F60="",$G60=""),"",$F60*$G60)</f>
        <v/>
      </c>
      <c r="I60" s="13">
        <f>IF($H60="","",IF($H60&gt;=6,"Ação imediata",IF($H60&gt;=4,"Monitoramento","Aceitável")))</f>
        <v/>
      </c>
      <c r="J60" s="4" t="n"/>
      <c r="K60" s="4" t="n"/>
      <c r="L60" s="4" t="n"/>
    </row>
    <row r="61" ht="30" customHeight="1">
      <c r="A61" s="12" t="n"/>
      <c r="B61" s="12" t="n"/>
      <c r="C61" s="12" t="n"/>
      <c r="D61" s="12" t="n"/>
      <c r="E61" s="12" t="n"/>
      <c r="F61" s="12" t="n"/>
      <c r="G61" s="12" t="n"/>
      <c r="H61" s="13">
        <f>IF(OR($F61="",$G61=""),"",$F61*$G61)</f>
        <v/>
      </c>
      <c r="I61" s="13">
        <f>IF($H61="","",IF($H61&gt;=6,"Ação imediata",IF($H61&gt;=4,"Monitoramento","Aceitável")))</f>
        <v/>
      </c>
      <c r="J61" s="12" t="n"/>
      <c r="K61" s="12" t="n"/>
      <c r="L61" s="12" t="n"/>
    </row>
    <row r="62" ht="30" customHeight="1">
      <c r="A62" s="4" t="n"/>
      <c r="B62" s="4" t="n"/>
      <c r="C62" s="4" t="n"/>
      <c r="D62" s="4" t="n"/>
      <c r="E62" s="4" t="n"/>
      <c r="F62" s="4" t="n"/>
      <c r="G62" s="4" t="n"/>
      <c r="H62" s="13">
        <f>IF(OR($F62="",$G62=""),"",$F62*$G62)</f>
        <v/>
      </c>
      <c r="I62" s="13">
        <f>IF($H62="","",IF($H62&gt;=6,"Ação imediata",IF($H62&gt;=4,"Monitoramento","Aceitável")))</f>
        <v/>
      </c>
      <c r="J62" s="4" t="n"/>
      <c r="K62" s="4" t="n"/>
      <c r="L62" s="4" t="n"/>
    </row>
    <row r="63" ht="30" customHeight="1">
      <c r="A63" s="12" t="n"/>
      <c r="B63" s="12" t="n"/>
      <c r="C63" s="12" t="n"/>
      <c r="D63" s="12" t="n"/>
      <c r="E63" s="12" t="n"/>
      <c r="F63" s="12" t="n"/>
      <c r="G63" s="12" t="n"/>
      <c r="H63" s="13">
        <f>IF(OR($F63="",$G63=""),"",$F63*$G63)</f>
        <v/>
      </c>
      <c r="I63" s="13">
        <f>IF($H63="","",IF($H63&gt;=6,"Ação imediata",IF($H63&gt;=4,"Monitoramento","Aceitável")))</f>
        <v/>
      </c>
      <c r="J63" s="12" t="n"/>
      <c r="K63" s="12" t="n"/>
      <c r="L63" s="12" t="n"/>
    </row>
    <row r="64" ht="30" customHeight="1">
      <c r="A64" s="4" t="n"/>
      <c r="B64" s="4" t="n"/>
      <c r="C64" s="4" t="n"/>
      <c r="D64" s="4" t="n"/>
      <c r="E64" s="4" t="n"/>
      <c r="F64" s="4" t="n"/>
      <c r="G64" s="4" t="n"/>
      <c r="H64" s="13">
        <f>IF(OR($F64="",$G64=""),"",$F64*$G64)</f>
        <v/>
      </c>
      <c r="I64" s="13">
        <f>IF($H64="","",IF($H64&gt;=6,"Ação imediata",IF($H64&gt;=4,"Monitoramento","Aceitável")))</f>
        <v/>
      </c>
      <c r="J64" s="4" t="n"/>
      <c r="K64" s="4" t="n"/>
      <c r="L64" s="4" t="n"/>
    </row>
    <row r="65" ht="30" customHeight="1">
      <c r="A65" s="12" t="n"/>
      <c r="B65" s="12" t="n"/>
      <c r="C65" s="12" t="n"/>
      <c r="D65" s="12" t="n"/>
      <c r="E65" s="12" t="n"/>
      <c r="F65" s="12" t="n"/>
      <c r="G65" s="12" t="n"/>
      <c r="H65" s="13">
        <f>IF(OR($F65="",$G65=""),"",$F65*$G65)</f>
        <v/>
      </c>
      <c r="I65" s="13">
        <f>IF($H65="","",IF($H65&gt;=6,"Ação imediata",IF($H65&gt;=4,"Monitoramento","Aceitável")))</f>
        <v/>
      </c>
      <c r="J65" s="12" t="n"/>
      <c r="K65" s="12" t="n"/>
      <c r="L65" s="12" t="n"/>
    </row>
    <row r="66" ht="30" customHeight="1">
      <c r="A66" s="4" t="n"/>
      <c r="B66" s="4" t="n"/>
      <c r="C66" s="4" t="n"/>
      <c r="D66" s="4" t="n"/>
      <c r="E66" s="4" t="n"/>
      <c r="F66" s="4" t="n"/>
      <c r="G66" s="4" t="n"/>
      <c r="H66" s="13">
        <f>IF(OR($F66="",$G66=""),"",$F66*$G66)</f>
        <v/>
      </c>
      <c r="I66" s="13">
        <f>IF($H66="","",IF($H66&gt;=6,"Ação imediata",IF($H66&gt;=4,"Monitoramento","Aceitável")))</f>
        <v/>
      </c>
      <c r="J66" s="4" t="n"/>
      <c r="K66" s="4" t="n"/>
      <c r="L66" s="4" t="n"/>
    </row>
    <row r="67" ht="30" customHeight="1">
      <c r="A67" s="12" t="n"/>
      <c r="B67" s="12" t="n"/>
      <c r="C67" s="12" t="n"/>
      <c r="D67" s="12" t="n"/>
      <c r="E67" s="12" t="n"/>
      <c r="F67" s="12" t="n"/>
      <c r="G67" s="12" t="n"/>
      <c r="H67" s="13">
        <f>IF(OR($F67="",$G67=""),"",$F67*$G67)</f>
        <v/>
      </c>
      <c r="I67" s="13">
        <f>IF($H67="","",IF($H67&gt;=6,"Ação imediata",IF($H67&gt;=4,"Monitoramento","Aceitável")))</f>
        <v/>
      </c>
      <c r="J67" s="12" t="n"/>
      <c r="K67" s="12" t="n"/>
      <c r="L67" s="12" t="n"/>
    </row>
    <row r="68" ht="30" customHeight="1">
      <c r="A68" s="4" t="n"/>
      <c r="B68" s="4" t="n"/>
      <c r="C68" s="4" t="n"/>
      <c r="D68" s="4" t="n"/>
      <c r="E68" s="4" t="n"/>
      <c r="F68" s="4" t="n"/>
      <c r="G68" s="4" t="n"/>
      <c r="H68" s="13">
        <f>IF(OR($F68="",$G68=""),"",$F68*$G68)</f>
        <v/>
      </c>
      <c r="I68" s="13">
        <f>IF($H68="","",IF($H68&gt;=6,"Ação imediata",IF($H68&gt;=4,"Monitoramento","Aceitável")))</f>
        <v/>
      </c>
      <c r="J68" s="4" t="n"/>
      <c r="K68" s="4" t="n"/>
      <c r="L68" s="4" t="n"/>
    </row>
    <row r="69" ht="30" customHeight="1">
      <c r="A69" s="12" t="n"/>
      <c r="B69" s="12" t="n"/>
      <c r="C69" s="12" t="n"/>
      <c r="D69" s="12" t="n"/>
      <c r="E69" s="12" t="n"/>
      <c r="F69" s="12" t="n"/>
      <c r="G69" s="12" t="n"/>
      <c r="H69" s="13">
        <f>IF(OR($F69="",$G69=""),"",$F69*$G69)</f>
        <v/>
      </c>
      <c r="I69" s="13">
        <f>IF($H69="","",IF($H69&gt;=6,"Ação imediata",IF($H69&gt;=4,"Monitoramento","Aceitável")))</f>
        <v/>
      </c>
      <c r="J69" s="12" t="n"/>
      <c r="K69" s="12" t="n"/>
      <c r="L69" s="12" t="n"/>
    </row>
    <row r="70" ht="30" customHeight="1">
      <c r="A70" s="4" t="n"/>
      <c r="B70" s="4" t="n"/>
      <c r="C70" s="4" t="n"/>
      <c r="D70" s="4" t="n"/>
      <c r="E70" s="4" t="n"/>
      <c r="F70" s="4" t="n"/>
      <c r="G70" s="4" t="n"/>
      <c r="H70" s="13">
        <f>IF(OR($F70="",$G70=""),"",$F70*$G70)</f>
        <v/>
      </c>
      <c r="I70" s="13">
        <f>IF($H70="","",IF($H70&gt;=6,"Ação imediata",IF($H70&gt;=4,"Monitoramento","Aceitável")))</f>
        <v/>
      </c>
      <c r="J70" s="4" t="n"/>
      <c r="K70" s="4" t="n"/>
      <c r="L70" s="4" t="n"/>
    </row>
    <row r="71" ht="30" customHeight="1">
      <c r="A71" s="12" t="n"/>
      <c r="B71" s="12" t="n"/>
      <c r="C71" s="12" t="n"/>
      <c r="D71" s="12" t="n"/>
      <c r="E71" s="12" t="n"/>
      <c r="F71" s="12" t="n"/>
      <c r="G71" s="12" t="n"/>
      <c r="H71" s="13">
        <f>IF(OR($F71="",$G71=""),"",$F71*$G71)</f>
        <v/>
      </c>
      <c r="I71" s="13">
        <f>IF($H71="","",IF($H71&gt;=6,"Ação imediata",IF($H71&gt;=4,"Monitoramento","Aceitável")))</f>
        <v/>
      </c>
      <c r="J71" s="12" t="n"/>
      <c r="K71" s="12" t="n"/>
      <c r="L71" s="12" t="n"/>
    </row>
    <row r="72" ht="30" customHeight="1">
      <c r="A72" s="4" t="n"/>
      <c r="B72" s="4" t="n"/>
      <c r="C72" s="4" t="n"/>
      <c r="D72" s="4" t="n"/>
      <c r="E72" s="4" t="n"/>
      <c r="F72" s="4" t="n"/>
      <c r="G72" s="4" t="n"/>
      <c r="H72" s="13">
        <f>IF(OR($F72="",$G72=""),"",$F72*$G72)</f>
        <v/>
      </c>
      <c r="I72" s="13">
        <f>IF($H72="","",IF($H72&gt;=6,"Ação imediata",IF($H72&gt;=4,"Monitoramento","Aceitável")))</f>
        <v/>
      </c>
      <c r="J72" s="4" t="n"/>
      <c r="K72" s="4" t="n"/>
      <c r="L72" s="4" t="n"/>
    </row>
    <row r="73" ht="30" customHeight="1">
      <c r="A73" s="12" t="n"/>
      <c r="B73" s="12" t="n"/>
      <c r="C73" s="12" t="n"/>
      <c r="D73" s="12" t="n"/>
      <c r="E73" s="12" t="n"/>
      <c r="F73" s="12" t="n"/>
      <c r="G73" s="12" t="n"/>
      <c r="H73" s="13">
        <f>IF(OR($F73="",$G73=""),"",$F73*$G73)</f>
        <v/>
      </c>
      <c r="I73" s="13">
        <f>IF($H73="","",IF($H73&gt;=6,"Ação imediata",IF($H73&gt;=4,"Monitoramento","Aceitável")))</f>
        <v/>
      </c>
      <c r="J73" s="12" t="n"/>
      <c r="K73" s="12" t="n"/>
      <c r="L73" s="12" t="n"/>
    </row>
    <row r="74" ht="30" customHeight="1">
      <c r="A74" s="4" t="n"/>
      <c r="B74" s="4" t="n"/>
      <c r="C74" s="4" t="n"/>
      <c r="D74" s="4" t="n"/>
      <c r="E74" s="4" t="n"/>
      <c r="F74" s="4" t="n"/>
      <c r="G74" s="4" t="n"/>
      <c r="H74" s="13">
        <f>IF(OR($F74="",$G74=""),"",$F74*$G74)</f>
        <v/>
      </c>
      <c r="I74" s="13">
        <f>IF($H74="","",IF($H74&gt;=6,"Ação imediata",IF($H74&gt;=4,"Monitoramento","Aceitável")))</f>
        <v/>
      </c>
      <c r="J74" s="4" t="n"/>
      <c r="K74" s="4" t="n"/>
      <c r="L74" s="4" t="n"/>
    </row>
    <row r="75" ht="30" customHeight="1">
      <c r="A75" s="12" t="n"/>
      <c r="B75" s="12" t="n"/>
      <c r="C75" s="12" t="n"/>
      <c r="D75" s="12" t="n"/>
      <c r="E75" s="12" t="n"/>
      <c r="F75" s="12" t="n"/>
      <c r="G75" s="12" t="n"/>
      <c r="H75" s="13">
        <f>IF(OR($F75="",$G75=""),"",$F75*$G75)</f>
        <v/>
      </c>
      <c r="I75" s="13">
        <f>IF($H75="","",IF($H75&gt;=6,"Ação imediata",IF($H75&gt;=4,"Monitoramento","Aceitável")))</f>
        <v/>
      </c>
      <c r="J75" s="12" t="n"/>
      <c r="K75" s="12" t="n"/>
      <c r="L75" s="12" t="n"/>
    </row>
    <row r="76" ht="30" customHeight="1">
      <c r="A76" s="4" t="n"/>
      <c r="B76" s="4" t="n"/>
      <c r="C76" s="4" t="n"/>
      <c r="D76" s="4" t="n"/>
      <c r="E76" s="4" t="n"/>
      <c r="F76" s="4" t="n"/>
      <c r="G76" s="4" t="n"/>
      <c r="H76" s="13">
        <f>IF(OR($F76="",$G76=""),"",$F76*$G76)</f>
        <v/>
      </c>
      <c r="I76" s="13">
        <f>IF($H76="","",IF($H76&gt;=6,"Ação imediata",IF($H76&gt;=4,"Monitoramento","Aceitável")))</f>
        <v/>
      </c>
      <c r="J76" s="4" t="n"/>
      <c r="K76" s="4" t="n"/>
      <c r="L76" s="4" t="n"/>
    </row>
    <row r="77" ht="30" customHeight="1">
      <c r="A77" s="12" t="n"/>
      <c r="B77" s="12" t="n"/>
      <c r="C77" s="12" t="n"/>
      <c r="D77" s="12" t="n"/>
      <c r="E77" s="12" t="n"/>
      <c r="F77" s="12" t="n"/>
      <c r="G77" s="12" t="n"/>
      <c r="H77" s="13">
        <f>IF(OR($F77="",$G77=""),"",$F77*$G77)</f>
        <v/>
      </c>
      <c r="I77" s="13">
        <f>IF($H77="","",IF($H77&gt;=6,"Ação imediata",IF($H77&gt;=4,"Monitoramento","Aceitável")))</f>
        <v/>
      </c>
      <c r="J77" s="12" t="n"/>
      <c r="K77" s="12" t="n"/>
      <c r="L77" s="12" t="n"/>
    </row>
    <row r="78" ht="30" customHeight="1">
      <c r="A78" s="4" t="n"/>
      <c r="B78" s="4" t="n"/>
      <c r="C78" s="4" t="n"/>
      <c r="D78" s="4" t="n"/>
      <c r="E78" s="4" t="n"/>
      <c r="F78" s="4" t="n"/>
      <c r="G78" s="4" t="n"/>
      <c r="H78" s="13">
        <f>IF(OR($F78="",$G78=""),"",$F78*$G78)</f>
        <v/>
      </c>
      <c r="I78" s="13">
        <f>IF($H78="","",IF($H78&gt;=6,"Ação imediata",IF($H78&gt;=4,"Monitoramento","Aceitável")))</f>
        <v/>
      </c>
      <c r="J78" s="4" t="n"/>
      <c r="K78" s="4" t="n"/>
      <c r="L78" s="4" t="n"/>
    </row>
    <row r="79" ht="30" customHeight="1">
      <c r="A79" s="12" t="n"/>
      <c r="B79" s="12" t="n"/>
      <c r="C79" s="12" t="n"/>
      <c r="D79" s="12" t="n"/>
      <c r="E79" s="12" t="n"/>
      <c r="F79" s="12" t="n"/>
      <c r="G79" s="12" t="n"/>
      <c r="H79" s="13">
        <f>IF(OR($F79="",$G79=""),"",$F79*$G79)</f>
        <v/>
      </c>
      <c r="I79" s="13">
        <f>IF($H79="","",IF($H79&gt;=6,"Ação imediata",IF($H79&gt;=4,"Monitoramento","Aceitável")))</f>
        <v/>
      </c>
      <c r="J79" s="12" t="n"/>
      <c r="K79" s="12" t="n"/>
      <c r="L79" s="12" t="n"/>
    </row>
    <row r="80" ht="30" customHeight="1">
      <c r="A80" s="4" t="n"/>
      <c r="B80" s="4" t="n"/>
      <c r="C80" s="4" t="n"/>
      <c r="D80" s="4" t="n"/>
      <c r="E80" s="4" t="n"/>
      <c r="F80" s="4" t="n"/>
      <c r="G80" s="4" t="n"/>
      <c r="H80" s="13">
        <f>IF(OR($F80="",$G80=""),"",$F80*$G80)</f>
        <v/>
      </c>
      <c r="I80" s="13">
        <f>IF($H80="","",IF($H80&gt;=6,"Ação imediata",IF($H80&gt;=4,"Monitoramento","Aceitável")))</f>
        <v/>
      </c>
      <c r="J80" s="4" t="n"/>
      <c r="K80" s="4" t="n"/>
      <c r="L80" s="4" t="n"/>
    </row>
    <row r="81" ht="30" customHeight="1">
      <c r="A81" s="12" t="n"/>
      <c r="B81" s="12" t="n"/>
      <c r="C81" s="12" t="n"/>
      <c r="D81" s="12" t="n"/>
      <c r="E81" s="12" t="n"/>
      <c r="F81" s="12" t="n"/>
      <c r="G81" s="12" t="n"/>
      <c r="H81" s="13">
        <f>IF(OR($F81="",$G81=""),"",$F81*$G81)</f>
        <v/>
      </c>
      <c r="I81" s="13">
        <f>IF($H81="","",IF($H81&gt;=6,"Ação imediata",IF($H81&gt;=4,"Monitoramento","Aceitável")))</f>
        <v/>
      </c>
      <c r="J81" s="12" t="n"/>
      <c r="K81" s="12" t="n"/>
      <c r="L81" s="12" t="n"/>
    </row>
    <row r="82" ht="30" customHeight="1">
      <c r="A82" s="4" t="n"/>
      <c r="B82" s="4" t="n"/>
      <c r="C82" s="4" t="n"/>
      <c r="D82" s="4" t="n"/>
      <c r="E82" s="4" t="n"/>
      <c r="F82" s="4" t="n"/>
      <c r="G82" s="4" t="n"/>
      <c r="H82" s="13">
        <f>IF(OR($F82="",$G82=""),"",$F82*$G82)</f>
        <v/>
      </c>
      <c r="I82" s="13">
        <f>IF($H82="","",IF($H82&gt;=6,"Ação imediata",IF($H82&gt;=4,"Monitoramento","Aceitável")))</f>
        <v/>
      </c>
      <c r="J82" s="4" t="n"/>
      <c r="K82" s="4" t="n"/>
      <c r="L82" s="4" t="n"/>
    </row>
    <row r="83" ht="30" customHeight="1">
      <c r="A83" s="12" t="n"/>
      <c r="B83" s="12" t="n"/>
      <c r="C83" s="12" t="n"/>
      <c r="D83" s="12" t="n"/>
      <c r="E83" s="12" t="n"/>
      <c r="F83" s="12" t="n"/>
      <c r="G83" s="12" t="n"/>
      <c r="H83" s="13">
        <f>IF(OR($F83="",$G83=""),"",$F83*$G83)</f>
        <v/>
      </c>
      <c r="I83" s="13">
        <f>IF($H83="","",IF($H83&gt;=6,"Ação imediata",IF($H83&gt;=4,"Monitoramento","Aceitável")))</f>
        <v/>
      </c>
      <c r="J83" s="12" t="n"/>
      <c r="K83" s="12" t="n"/>
      <c r="L83" s="12" t="n"/>
    </row>
    <row r="84" ht="30" customHeight="1">
      <c r="A84" s="4" t="n"/>
      <c r="B84" s="4" t="n"/>
      <c r="C84" s="4" t="n"/>
      <c r="D84" s="4" t="n"/>
      <c r="E84" s="4" t="n"/>
      <c r="F84" s="4" t="n"/>
      <c r="G84" s="4" t="n"/>
      <c r="H84" s="13">
        <f>IF(OR($F84="",$G84=""),"",$F84*$G84)</f>
        <v/>
      </c>
      <c r="I84" s="13">
        <f>IF($H84="","",IF($H84&gt;=6,"Ação imediata",IF($H84&gt;=4,"Monitoramento","Aceitável")))</f>
        <v/>
      </c>
      <c r="J84" s="4" t="n"/>
      <c r="K84" s="4" t="n"/>
      <c r="L84" s="4" t="n"/>
    </row>
    <row r="85" ht="30" customHeight="1">
      <c r="A85" s="12" t="n"/>
      <c r="B85" s="12" t="n"/>
      <c r="C85" s="12" t="n"/>
      <c r="D85" s="12" t="n"/>
      <c r="E85" s="12" t="n"/>
      <c r="F85" s="12" t="n"/>
      <c r="G85" s="12" t="n"/>
      <c r="H85" s="13">
        <f>IF(OR($F85="",$G85=""),"",$F85*$G85)</f>
        <v/>
      </c>
      <c r="I85" s="13">
        <f>IF($H85="","",IF($H85&gt;=6,"Ação imediata",IF($H85&gt;=4,"Monitoramento","Aceitável")))</f>
        <v/>
      </c>
      <c r="J85" s="12" t="n"/>
      <c r="K85" s="12" t="n"/>
      <c r="L85" s="12" t="n"/>
    </row>
    <row r="86" ht="30" customHeight="1">
      <c r="A86" s="4" t="n"/>
      <c r="B86" s="4" t="n"/>
      <c r="C86" s="4" t="n"/>
      <c r="D86" s="4" t="n"/>
      <c r="E86" s="4" t="n"/>
      <c r="F86" s="4" t="n"/>
      <c r="G86" s="4" t="n"/>
      <c r="H86" s="13">
        <f>IF(OR($F86="",$G86=""),"",$F86*$G86)</f>
        <v/>
      </c>
      <c r="I86" s="13">
        <f>IF($H86="","",IF($H86&gt;=6,"Ação imediata",IF($H86&gt;=4,"Monitoramento","Aceitável")))</f>
        <v/>
      </c>
      <c r="J86" s="4" t="n"/>
      <c r="K86" s="4" t="n"/>
      <c r="L86" s="4" t="n"/>
    </row>
    <row r="87" ht="30" customHeight="1">
      <c r="A87" s="12" t="n"/>
      <c r="B87" s="12" t="n"/>
      <c r="C87" s="12" t="n"/>
      <c r="D87" s="12" t="n"/>
      <c r="E87" s="12" t="n"/>
      <c r="F87" s="12" t="n"/>
      <c r="G87" s="12" t="n"/>
      <c r="H87" s="13">
        <f>IF(OR($F87="",$G87=""),"",$F87*$G87)</f>
        <v/>
      </c>
      <c r="I87" s="13">
        <f>IF($H87="","",IF($H87&gt;=6,"Ação imediata",IF($H87&gt;=4,"Monitoramento","Aceitável")))</f>
        <v/>
      </c>
      <c r="J87" s="12" t="n"/>
      <c r="K87" s="12" t="n"/>
      <c r="L87" s="12" t="n"/>
    </row>
    <row r="88" ht="30" customHeight="1">
      <c r="A88" s="4" t="n"/>
      <c r="B88" s="4" t="n"/>
      <c r="C88" s="4" t="n"/>
      <c r="D88" s="4" t="n"/>
      <c r="E88" s="4" t="n"/>
      <c r="F88" s="4" t="n"/>
      <c r="G88" s="4" t="n"/>
      <c r="H88" s="13">
        <f>IF(OR($F88="",$G88=""),"",$F88*$G88)</f>
        <v/>
      </c>
      <c r="I88" s="13">
        <f>IF($H88="","",IF($H88&gt;=6,"Ação imediata",IF($H88&gt;=4,"Monitoramento","Aceitável")))</f>
        <v/>
      </c>
      <c r="J88" s="4" t="n"/>
      <c r="K88" s="4" t="n"/>
      <c r="L88" s="4" t="n"/>
    </row>
    <row r="89" ht="30" customHeight="1">
      <c r="A89" s="12" t="n"/>
      <c r="B89" s="12" t="n"/>
      <c r="C89" s="12" t="n"/>
      <c r="D89" s="12" t="n"/>
      <c r="E89" s="12" t="n"/>
      <c r="F89" s="12" t="n"/>
      <c r="G89" s="12" t="n"/>
      <c r="H89" s="13">
        <f>IF(OR($F89="",$G89=""),"",$F89*$G89)</f>
        <v/>
      </c>
      <c r="I89" s="13">
        <f>IF($H89="","",IF($H89&gt;=6,"Ação imediata",IF($H89&gt;=4,"Monitoramento","Aceitável")))</f>
        <v/>
      </c>
      <c r="J89" s="12" t="n"/>
      <c r="K89" s="12" t="n"/>
      <c r="L89" s="12" t="n"/>
    </row>
    <row r="90" ht="30" customHeight="1">
      <c r="A90" s="4" t="n"/>
      <c r="B90" s="4" t="n"/>
      <c r="C90" s="4" t="n"/>
      <c r="D90" s="4" t="n"/>
      <c r="E90" s="4" t="n"/>
      <c r="F90" s="4" t="n"/>
      <c r="G90" s="4" t="n"/>
      <c r="H90" s="13">
        <f>IF(OR($F90="",$G90=""),"",$F90*$G90)</f>
        <v/>
      </c>
      <c r="I90" s="13">
        <f>IF($H90="","",IF($H90&gt;=6,"Ação imediata",IF($H90&gt;=4,"Monitoramento","Aceitável")))</f>
        <v/>
      </c>
      <c r="J90" s="4" t="n"/>
      <c r="K90" s="4" t="n"/>
      <c r="L90" s="4" t="n"/>
    </row>
    <row r="91" ht="30" customHeight="1">
      <c r="A91" s="12" t="n"/>
      <c r="B91" s="12" t="n"/>
      <c r="C91" s="12" t="n"/>
      <c r="D91" s="12" t="n"/>
      <c r="E91" s="12" t="n"/>
      <c r="F91" s="12" t="n"/>
      <c r="G91" s="12" t="n"/>
      <c r="H91" s="13">
        <f>IF(OR($F91="",$G91=""),"",$F91*$G91)</f>
        <v/>
      </c>
      <c r="I91" s="13">
        <f>IF($H91="","",IF($H91&gt;=6,"Ação imediata",IF($H91&gt;=4,"Monitoramento","Aceitável")))</f>
        <v/>
      </c>
      <c r="J91" s="12" t="n"/>
      <c r="K91" s="12" t="n"/>
      <c r="L91" s="12" t="n"/>
    </row>
    <row r="92" ht="30" customHeight="1">
      <c r="A92" s="4" t="n"/>
      <c r="B92" s="4" t="n"/>
      <c r="C92" s="4" t="n"/>
      <c r="D92" s="4" t="n"/>
      <c r="E92" s="4" t="n"/>
      <c r="F92" s="4" t="n"/>
      <c r="G92" s="4" t="n"/>
      <c r="H92" s="13">
        <f>IF(OR($F92="",$G92=""),"",$F92*$G92)</f>
        <v/>
      </c>
      <c r="I92" s="13">
        <f>IF($H92="","",IF($H92&gt;=6,"Ação imediata",IF($H92&gt;=4,"Monitoramento","Aceitável")))</f>
        <v/>
      </c>
      <c r="J92" s="4" t="n"/>
      <c r="K92" s="4" t="n"/>
      <c r="L92" s="4" t="n"/>
    </row>
    <row r="93" ht="30" customHeight="1">
      <c r="A93" s="12" t="n"/>
      <c r="B93" s="12" t="n"/>
      <c r="C93" s="12" t="n"/>
      <c r="D93" s="12" t="n"/>
      <c r="E93" s="12" t="n"/>
      <c r="F93" s="12" t="n"/>
      <c r="G93" s="12" t="n"/>
      <c r="H93" s="13">
        <f>IF(OR($F93="",$G93=""),"",$F93*$G93)</f>
        <v/>
      </c>
      <c r="I93" s="13">
        <f>IF($H93="","",IF($H93&gt;=6,"Ação imediata",IF($H93&gt;=4,"Monitoramento","Aceitável")))</f>
        <v/>
      </c>
      <c r="J93" s="12" t="n"/>
      <c r="K93" s="12" t="n"/>
      <c r="L93" s="12" t="n"/>
    </row>
    <row r="94" ht="30" customHeight="1">
      <c r="A94" s="4" t="n"/>
      <c r="B94" s="4" t="n"/>
      <c r="C94" s="4" t="n"/>
      <c r="D94" s="4" t="n"/>
      <c r="E94" s="4" t="n"/>
      <c r="F94" s="4" t="n"/>
      <c r="G94" s="4" t="n"/>
      <c r="H94" s="13">
        <f>IF(OR($F94="",$G94=""),"",$F94*$G94)</f>
        <v/>
      </c>
      <c r="I94" s="13">
        <f>IF($H94="","",IF($H94&gt;=6,"Ação imediata",IF($H94&gt;=4,"Monitoramento","Aceitável")))</f>
        <v/>
      </c>
      <c r="J94" s="4" t="n"/>
      <c r="K94" s="4" t="n"/>
      <c r="L94" s="4" t="n"/>
    </row>
    <row r="95" ht="30" customHeight="1">
      <c r="A95" s="12" t="n"/>
      <c r="B95" s="12" t="n"/>
      <c r="C95" s="12" t="n"/>
      <c r="D95" s="12" t="n"/>
      <c r="E95" s="12" t="n"/>
      <c r="F95" s="12" t="n"/>
      <c r="G95" s="12" t="n"/>
      <c r="H95" s="13">
        <f>IF(OR($F95="",$G95=""),"",$F95*$G95)</f>
        <v/>
      </c>
      <c r="I95" s="13">
        <f>IF($H95="","",IF($H95&gt;=6,"Ação imediata",IF($H95&gt;=4,"Monitoramento","Aceitável")))</f>
        <v/>
      </c>
      <c r="J95" s="12" t="n"/>
      <c r="K95" s="12" t="n"/>
      <c r="L95" s="12" t="n"/>
    </row>
    <row r="96" ht="30" customHeight="1">
      <c r="A96" s="4" t="n"/>
      <c r="B96" s="4" t="n"/>
      <c r="C96" s="4" t="n"/>
      <c r="D96" s="4" t="n"/>
      <c r="E96" s="4" t="n"/>
      <c r="F96" s="4" t="n"/>
      <c r="G96" s="4" t="n"/>
      <c r="H96" s="13">
        <f>IF(OR($F96="",$G96=""),"",$F96*$G96)</f>
        <v/>
      </c>
      <c r="I96" s="13">
        <f>IF($H96="","",IF($H96&gt;=6,"Ação imediata",IF($H96&gt;=4,"Monitoramento","Aceitável")))</f>
        <v/>
      </c>
      <c r="J96" s="4" t="n"/>
      <c r="K96" s="4" t="n"/>
      <c r="L96" s="4" t="n"/>
    </row>
    <row r="97" ht="30" customHeight="1">
      <c r="A97" s="12" t="n"/>
      <c r="B97" s="12" t="n"/>
      <c r="C97" s="12" t="n"/>
      <c r="D97" s="12" t="n"/>
      <c r="E97" s="12" t="n"/>
      <c r="F97" s="12" t="n"/>
      <c r="G97" s="12" t="n"/>
      <c r="H97" s="13">
        <f>IF(OR($F97="",$G97=""),"",$F97*$G97)</f>
        <v/>
      </c>
      <c r="I97" s="13">
        <f>IF($H97="","",IF($H97&gt;=6,"Ação imediata",IF($H97&gt;=4,"Monitoramento","Aceitável")))</f>
        <v/>
      </c>
      <c r="J97" s="12" t="n"/>
      <c r="K97" s="12" t="n"/>
      <c r="L97" s="12" t="n"/>
    </row>
    <row r="98" ht="30" customHeight="1">
      <c r="A98" s="4" t="n"/>
      <c r="B98" s="4" t="n"/>
      <c r="C98" s="4" t="n"/>
      <c r="D98" s="4" t="n"/>
      <c r="E98" s="4" t="n"/>
      <c r="F98" s="4" t="n"/>
      <c r="G98" s="4" t="n"/>
      <c r="H98" s="13">
        <f>IF(OR($F98="",$G98=""),"",$F98*$G98)</f>
        <v/>
      </c>
      <c r="I98" s="13">
        <f>IF($H98="","",IF($H98&gt;=6,"Ação imediata",IF($H98&gt;=4,"Monitoramento","Aceitável")))</f>
        <v/>
      </c>
      <c r="J98" s="4" t="n"/>
      <c r="K98" s="4" t="n"/>
      <c r="L98" s="4" t="n"/>
    </row>
    <row r="99" ht="30" customHeight="1">
      <c r="A99" s="12" t="n"/>
      <c r="B99" s="12" t="n"/>
      <c r="C99" s="12" t="n"/>
      <c r="D99" s="12" t="n"/>
      <c r="E99" s="12" t="n"/>
      <c r="F99" s="12" t="n"/>
      <c r="G99" s="12" t="n"/>
      <c r="H99" s="13">
        <f>IF(OR($F99="",$G99=""),"",$F99*$G99)</f>
        <v/>
      </c>
      <c r="I99" s="13">
        <f>IF($H99="","",IF($H99&gt;=6,"Ação imediata",IF($H99&gt;=4,"Monitoramento","Aceitável")))</f>
        <v/>
      </c>
      <c r="J99" s="12" t="n"/>
      <c r="K99" s="12" t="n"/>
      <c r="L99" s="12" t="n"/>
    </row>
    <row r="100" ht="30" customHeight="1">
      <c r="A100" s="4" t="n"/>
      <c r="B100" s="4" t="n"/>
      <c r="C100" s="4" t="n"/>
      <c r="D100" s="4" t="n"/>
      <c r="E100" s="4" t="n"/>
      <c r="F100" s="4" t="n"/>
      <c r="G100" s="4" t="n"/>
      <c r="H100" s="13">
        <f>IF(OR($F100="",$G100=""),"",$F100*$G100)</f>
        <v/>
      </c>
      <c r="I100" s="13">
        <f>IF($H100="","",IF($H100&gt;=6,"Ação imediata",IF($H100&gt;=4,"Monitoramento","Aceitável")))</f>
        <v/>
      </c>
      <c r="J100" s="4" t="n"/>
      <c r="K100" s="4" t="n"/>
      <c r="L100" s="4" t="n"/>
    </row>
    <row r="101" ht="30" customHeight="1">
      <c r="A101" s="12" t="n"/>
      <c r="B101" s="12" t="n"/>
      <c r="C101" s="12" t="n"/>
      <c r="D101" s="12" t="n"/>
      <c r="E101" s="12" t="n"/>
      <c r="F101" s="12" t="n"/>
      <c r="G101" s="12" t="n"/>
      <c r="H101" s="13">
        <f>IF(OR($F101="",$G101=""),"",$F101*$G101)</f>
        <v/>
      </c>
      <c r="I101" s="13">
        <f>IF($H101="","",IF($H101&gt;=6,"Ação imediata",IF($H101&gt;=4,"Monitoramento","Aceitável")))</f>
        <v/>
      </c>
      <c r="J101" s="12" t="n"/>
      <c r="K101" s="12" t="n"/>
      <c r="L101" s="12" t="n"/>
    </row>
    <row r="102" ht="30" customHeight="1">
      <c r="A102" s="4" t="n"/>
      <c r="B102" s="4" t="n"/>
      <c r="C102" s="4" t="n"/>
      <c r="D102" s="4" t="n"/>
      <c r="E102" s="4" t="n"/>
      <c r="F102" s="4" t="n"/>
      <c r="G102" s="4" t="n"/>
      <c r="H102" s="13">
        <f>IF(OR($F102="",$G102=""),"",$F102*$G102)</f>
        <v/>
      </c>
      <c r="I102" s="13">
        <f>IF($H102="","",IF($H102&gt;=6,"Ação imediata",IF($H102&gt;=4,"Monitoramento","Aceitável")))</f>
        <v/>
      </c>
      <c r="J102" s="4" t="n"/>
      <c r="K102" s="4" t="n"/>
      <c r="L102" s="4" t="n"/>
    </row>
    <row r="103" ht="30" customHeight="1">
      <c r="A103" s="12" t="n"/>
      <c r="B103" s="12" t="n"/>
      <c r="C103" s="12" t="n"/>
      <c r="D103" s="12" t="n"/>
      <c r="E103" s="12" t="n"/>
      <c r="F103" s="12" t="n"/>
      <c r="G103" s="12" t="n"/>
      <c r="H103" s="13">
        <f>IF(OR($F103="",$G103=""),"",$F103*$G103)</f>
        <v/>
      </c>
      <c r="I103" s="13">
        <f>IF($H103="","",IF($H103&gt;=6,"Ação imediata",IF($H103&gt;=4,"Monitoramento","Aceitável")))</f>
        <v/>
      </c>
      <c r="J103" s="12" t="n"/>
      <c r="K103" s="12" t="n"/>
      <c r="L103" s="12" t="n"/>
    </row>
    <row r="104" ht="30" customHeight="1">
      <c r="A104" s="4" t="n"/>
      <c r="B104" s="4" t="n"/>
      <c r="C104" s="4" t="n"/>
      <c r="D104" s="4" t="n"/>
      <c r="E104" s="4" t="n"/>
      <c r="F104" s="4" t="n"/>
      <c r="G104" s="4" t="n"/>
      <c r="H104" s="13">
        <f>IF(OR($F104="",$G104=""),"",$F104*$G104)</f>
        <v/>
      </c>
      <c r="I104" s="13">
        <f>IF($H104="","",IF($H104&gt;=6,"Ação imediata",IF($H104&gt;=4,"Monitoramento","Aceitável")))</f>
        <v/>
      </c>
      <c r="J104" s="4" t="n"/>
      <c r="K104" s="4" t="n"/>
      <c r="L104" s="4" t="n"/>
    </row>
    <row r="105" ht="30" customHeight="1">
      <c r="A105" s="12" t="n"/>
      <c r="B105" s="12" t="n"/>
      <c r="C105" s="12" t="n"/>
      <c r="D105" s="12" t="n"/>
      <c r="E105" s="12" t="n"/>
      <c r="F105" s="12" t="n"/>
      <c r="G105" s="12" t="n"/>
      <c r="H105" s="13">
        <f>IF(OR($F105="",$G105=""),"",$F105*$G105)</f>
        <v/>
      </c>
      <c r="I105" s="13">
        <f>IF($H105="","",IF($H105&gt;=6,"Ação imediata",IF($H105&gt;=4,"Monitoramento","Aceitável")))</f>
        <v/>
      </c>
      <c r="J105" s="12" t="n"/>
      <c r="K105" s="12" t="n"/>
      <c r="L105" s="12" t="n"/>
    </row>
    <row r="106" ht="30" customHeight="1">
      <c r="A106" s="4" t="n"/>
      <c r="B106" s="4" t="n"/>
      <c r="C106" s="4" t="n"/>
      <c r="D106" s="4" t="n"/>
      <c r="E106" s="4" t="n"/>
      <c r="F106" s="4" t="n"/>
      <c r="G106" s="4" t="n"/>
      <c r="H106" s="13">
        <f>IF(OR($F106="",$G106=""),"",$F106*$G106)</f>
        <v/>
      </c>
      <c r="I106" s="13">
        <f>IF($H106="","",IF($H106&gt;=6,"Ação imediata",IF($H106&gt;=4,"Monitoramento","Aceitável")))</f>
        <v/>
      </c>
      <c r="J106" s="4" t="n"/>
      <c r="K106" s="4" t="n"/>
      <c r="L106" s="4" t="n"/>
    </row>
    <row r="107" ht="30" customHeight="1">
      <c r="A107" s="12" t="n"/>
      <c r="B107" s="12" t="n"/>
      <c r="C107" s="12" t="n"/>
      <c r="D107" s="12" t="n"/>
      <c r="E107" s="12" t="n"/>
      <c r="F107" s="12" t="n"/>
      <c r="G107" s="12" t="n"/>
      <c r="H107" s="13">
        <f>IF(OR($F107="",$G107=""),"",$F107*$G107)</f>
        <v/>
      </c>
      <c r="I107" s="13">
        <f>IF($H107="","",IF($H107&gt;=6,"Ação imediata",IF($H107&gt;=4,"Monitoramento","Aceitável")))</f>
        <v/>
      </c>
      <c r="J107" s="12" t="n"/>
      <c r="K107" s="12" t="n"/>
      <c r="L107" s="12" t="n"/>
    </row>
    <row r="108" ht="30" customHeight="1">
      <c r="A108" s="4" t="n"/>
      <c r="B108" s="4" t="n"/>
      <c r="C108" s="4" t="n"/>
      <c r="D108" s="4" t="n"/>
      <c r="E108" s="4" t="n"/>
      <c r="F108" s="4" t="n"/>
      <c r="G108" s="4" t="n"/>
      <c r="H108" s="13">
        <f>IF(OR($F108="",$G108=""),"",$F108*$G108)</f>
        <v/>
      </c>
      <c r="I108" s="13">
        <f>IF($H108="","",IF($H108&gt;=6,"Ação imediata",IF($H108&gt;=4,"Monitoramento","Aceitável")))</f>
        <v/>
      </c>
      <c r="J108" s="4" t="n"/>
      <c r="K108" s="4" t="n"/>
      <c r="L108" s="4" t="n"/>
    </row>
    <row r="109" ht="30" customHeight="1">
      <c r="A109" s="12" t="n"/>
      <c r="B109" s="12" t="n"/>
      <c r="C109" s="12" t="n"/>
      <c r="D109" s="12" t="n"/>
      <c r="E109" s="12" t="n"/>
      <c r="F109" s="12" t="n"/>
      <c r="G109" s="12" t="n"/>
      <c r="H109" s="13">
        <f>IF(OR($F109="",$G109=""),"",$F109*$G109)</f>
        <v/>
      </c>
      <c r="I109" s="13">
        <f>IF($H109="","",IF($H109&gt;=6,"Ação imediata",IF($H109&gt;=4,"Monitoramento","Aceitável")))</f>
        <v/>
      </c>
      <c r="J109" s="12" t="n"/>
      <c r="K109" s="12" t="n"/>
      <c r="L109" s="12" t="n"/>
    </row>
    <row r="110" ht="30" customHeight="1">
      <c r="A110" s="4" t="n"/>
      <c r="B110" s="4" t="n"/>
      <c r="C110" s="4" t="n"/>
      <c r="D110" s="4" t="n"/>
      <c r="E110" s="4" t="n"/>
      <c r="F110" s="4" t="n"/>
      <c r="G110" s="4" t="n"/>
      <c r="H110" s="13">
        <f>IF(OR($F110="",$G110=""),"",$F110*$G110)</f>
        <v/>
      </c>
      <c r="I110" s="13">
        <f>IF($H110="","",IF($H110&gt;=6,"Ação imediata",IF($H110&gt;=4,"Monitoramento","Aceitável")))</f>
        <v/>
      </c>
      <c r="J110" s="4" t="n"/>
      <c r="K110" s="4" t="n"/>
      <c r="L110" s="4" t="n"/>
    </row>
    <row r="111" ht="30" customHeight="1">
      <c r="A111" s="12" t="n"/>
      <c r="B111" s="12" t="n"/>
      <c r="C111" s="12" t="n"/>
      <c r="D111" s="12" t="n"/>
      <c r="E111" s="12" t="n"/>
      <c r="F111" s="12" t="n"/>
      <c r="G111" s="12" t="n"/>
      <c r="H111" s="13">
        <f>IF(OR($F111="",$G111=""),"",$F111*$G111)</f>
        <v/>
      </c>
      <c r="I111" s="13">
        <f>IF($H111="","",IF($H111&gt;=6,"Ação imediata",IF($H111&gt;=4,"Monitoramento","Aceitável")))</f>
        <v/>
      </c>
      <c r="J111" s="12" t="n"/>
      <c r="K111" s="12" t="n"/>
      <c r="L111" s="12" t="n"/>
    </row>
    <row r="112" ht="30" customHeight="1">
      <c r="A112" s="4" t="n"/>
      <c r="B112" s="4" t="n"/>
      <c r="C112" s="4" t="n"/>
      <c r="D112" s="4" t="n"/>
      <c r="E112" s="4" t="n"/>
      <c r="F112" s="4" t="n"/>
      <c r="G112" s="4" t="n"/>
      <c r="H112" s="13">
        <f>IF(OR($F112="",$G112=""),"",$F112*$G112)</f>
        <v/>
      </c>
      <c r="I112" s="13">
        <f>IF($H112="","",IF($H112&gt;=6,"Ação imediata",IF($H112&gt;=4,"Monitoramento","Aceitável")))</f>
        <v/>
      </c>
      <c r="J112" s="4" t="n"/>
      <c r="K112" s="4" t="n"/>
      <c r="L112" s="4" t="n"/>
    </row>
    <row r="113" ht="30" customHeight="1">
      <c r="A113" s="12" t="n"/>
      <c r="B113" s="12" t="n"/>
      <c r="C113" s="12" t="n"/>
      <c r="D113" s="12" t="n"/>
      <c r="E113" s="12" t="n"/>
      <c r="F113" s="12" t="n"/>
      <c r="G113" s="12" t="n"/>
      <c r="H113" s="13">
        <f>IF(OR($F113="",$G113=""),"",$F113*$G113)</f>
        <v/>
      </c>
      <c r="I113" s="13">
        <f>IF($H113="","",IF($H113&gt;=6,"Ação imediata",IF($H113&gt;=4,"Monitoramento","Aceitável")))</f>
        <v/>
      </c>
      <c r="J113" s="12" t="n"/>
      <c r="K113" s="12" t="n"/>
      <c r="L113" s="12" t="n"/>
    </row>
    <row r="114" ht="30" customHeight="1">
      <c r="A114" s="4" t="n"/>
      <c r="B114" s="4" t="n"/>
      <c r="C114" s="4" t="n"/>
      <c r="D114" s="4" t="n"/>
      <c r="E114" s="4" t="n"/>
      <c r="F114" s="4" t="n"/>
      <c r="G114" s="4" t="n"/>
      <c r="H114" s="13">
        <f>IF(OR($F114="",$G114=""),"",$F114*$G114)</f>
        <v/>
      </c>
      <c r="I114" s="13">
        <f>IF($H114="","",IF($H114&gt;=6,"Ação imediata",IF($H114&gt;=4,"Monitoramento","Aceitável")))</f>
        <v/>
      </c>
      <c r="J114" s="4" t="n"/>
      <c r="K114" s="4" t="n"/>
      <c r="L114" s="4" t="n"/>
    </row>
    <row r="115" ht="30" customHeight="1">
      <c r="A115" s="12" t="n"/>
      <c r="B115" s="12" t="n"/>
      <c r="C115" s="12" t="n"/>
      <c r="D115" s="12" t="n"/>
      <c r="E115" s="12" t="n"/>
      <c r="F115" s="12" t="n"/>
      <c r="G115" s="12" t="n"/>
      <c r="H115" s="13">
        <f>IF(OR($F115="",$G115=""),"",$F115*$G115)</f>
        <v/>
      </c>
      <c r="I115" s="13">
        <f>IF($H115="","",IF($H115&gt;=6,"Ação imediata",IF($H115&gt;=4,"Monitoramento","Aceitável")))</f>
        <v/>
      </c>
      <c r="J115" s="12" t="n"/>
      <c r="K115" s="12" t="n"/>
      <c r="L115" s="12" t="n"/>
    </row>
    <row r="116" ht="30" customHeight="1">
      <c r="A116" s="4" t="n"/>
      <c r="B116" s="4" t="n"/>
      <c r="C116" s="4" t="n"/>
      <c r="D116" s="4" t="n"/>
      <c r="E116" s="4" t="n"/>
      <c r="F116" s="4" t="n"/>
      <c r="G116" s="4" t="n"/>
      <c r="H116" s="13">
        <f>IF(OR($F116="",$G116=""),"",$F116*$G116)</f>
        <v/>
      </c>
      <c r="I116" s="13">
        <f>IF($H116="","",IF($H116&gt;=6,"Ação imediata",IF($H116&gt;=4,"Monitoramento","Aceitável")))</f>
        <v/>
      </c>
      <c r="J116" s="4" t="n"/>
      <c r="K116" s="4" t="n"/>
      <c r="L116" s="4" t="n"/>
    </row>
    <row r="117" ht="30" customHeight="1">
      <c r="A117" s="12" t="n"/>
      <c r="B117" s="12" t="n"/>
      <c r="C117" s="12" t="n"/>
      <c r="D117" s="12" t="n"/>
      <c r="E117" s="12" t="n"/>
      <c r="F117" s="12" t="n"/>
      <c r="G117" s="12" t="n"/>
      <c r="H117" s="13">
        <f>IF(OR($F117="",$G117=""),"",$F117*$G117)</f>
        <v/>
      </c>
      <c r="I117" s="13">
        <f>IF($H117="","",IF($H117&gt;=6,"Ação imediata",IF($H117&gt;=4,"Monitoramento","Aceitável")))</f>
        <v/>
      </c>
      <c r="J117" s="12" t="n"/>
      <c r="K117" s="12" t="n"/>
      <c r="L117" s="12" t="n"/>
    </row>
    <row r="118" ht="30" customHeight="1">
      <c r="A118" s="4" t="n"/>
      <c r="B118" s="4" t="n"/>
      <c r="C118" s="4" t="n"/>
      <c r="D118" s="4" t="n"/>
      <c r="E118" s="4" t="n"/>
      <c r="F118" s="4" t="n"/>
      <c r="G118" s="4" t="n"/>
      <c r="H118" s="13">
        <f>IF(OR($F118="",$G118=""),"",$F118*$G118)</f>
        <v/>
      </c>
      <c r="I118" s="13">
        <f>IF($H118="","",IF($H118&gt;=6,"Ação imediata",IF($H118&gt;=4,"Monitoramento","Aceitável")))</f>
        <v/>
      </c>
      <c r="J118" s="4" t="n"/>
      <c r="K118" s="4" t="n"/>
      <c r="L118" s="4" t="n"/>
    </row>
    <row r="119" ht="30" customHeight="1">
      <c r="A119" s="12" t="n"/>
      <c r="B119" s="12" t="n"/>
      <c r="C119" s="12" t="n"/>
      <c r="D119" s="12" t="n"/>
      <c r="E119" s="12" t="n"/>
      <c r="F119" s="12" t="n"/>
      <c r="G119" s="12" t="n"/>
      <c r="H119" s="13">
        <f>IF(OR($F119="",$G119=""),"",$F119*$G119)</f>
        <v/>
      </c>
      <c r="I119" s="13">
        <f>IF($H119="","",IF($H119&gt;=6,"Ação imediata",IF($H119&gt;=4,"Monitoramento","Aceitável")))</f>
        <v/>
      </c>
      <c r="J119" s="12" t="n"/>
      <c r="K119" s="12" t="n"/>
      <c r="L119" s="12" t="n"/>
    </row>
    <row r="120" ht="30" customHeight="1">
      <c r="A120" s="4" t="n"/>
      <c r="B120" s="4" t="n"/>
      <c r="C120" s="4" t="n"/>
      <c r="D120" s="4" t="n"/>
      <c r="E120" s="4" t="n"/>
      <c r="F120" s="4" t="n"/>
      <c r="G120" s="4" t="n"/>
      <c r="H120" s="13">
        <f>IF(OR($F120="",$G120=""),"",$F120*$G120)</f>
        <v/>
      </c>
      <c r="I120" s="13">
        <f>IF($H120="","",IF($H120&gt;=6,"Ação imediata",IF($H120&gt;=4,"Monitoramento","Aceitável")))</f>
        <v/>
      </c>
      <c r="J120" s="4" t="n"/>
      <c r="K120" s="4" t="n"/>
      <c r="L120" s="4" t="n"/>
    </row>
    <row r="121" ht="30" customHeight="1">
      <c r="A121" s="12" t="n"/>
      <c r="B121" s="12" t="n"/>
      <c r="C121" s="12" t="n"/>
      <c r="D121" s="12" t="n"/>
      <c r="E121" s="12" t="n"/>
      <c r="F121" s="12" t="n"/>
      <c r="G121" s="12" t="n"/>
      <c r="H121" s="13">
        <f>IF(OR($F121="",$G121=""),"",$F121*$G121)</f>
        <v/>
      </c>
      <c r="I121" s="13">
        <f>IF($H121="","",IF($H121&gt;=6,"Ação imediata",IF($H121&gt;=4,"Monitoramento","Aceitável")))</f>
        <v/>
      </c>
      <c r="J121" s="12" t="n"/>
      <c r="K121" s="12" t="n"/>
      <c r="L121" s="12" t="n"/>
    </row>
    <row r="122" ht="30" customHeight="1">
      <c r="A122" s="4" t="n"/>
      <c r="B122" s="4" t="n"/>
      <c r="C122" s="4" t="n"/>
      <c r="D122" s="4" t="n"/>
      <c r="E122" s="4" t="n"/>
      <c r="F122" s="4" t="n"/>
      <c r="G122" s="4" t="n"/>
      <c r="H122" s="13">
        <f>IF(OR($F122="",$G122=""),"",$F122*$G122)</f>
        <v/>
      </c>
      <c r="I122" s="13">
        <f>IF($H122="","",IF($H122&gt;=6,"Ação imediata",IF($H122&gt;=4,"Monitoramento","Aceitável")))</f>
        <v/>
      </c>
      <c r="J122" s="4" t="n"/>
      <c r="K122" s="4" t="n"/>
      <c r="L122" s="4" t="n"/>
    </row>
    <row r="123" ht="30" customHeight="1">
      <c r="A123" s="12" t="n"/>
      <c r="B123" s="12" t="n"/>
      <c r="C123" s="12" t="n"/>
      <c r="D123" s="12" t="n"/>
      <c r="E123" s="12" t="n"/>
      <c r="F123" s="12" t="n"/>
      <c r="G123" s="12" t="n"/>
      <c r="H123" s="13">
        <f>IF(OR($F123="",$G123=""),"",$F123*$G123)</f>
        <v/>
      </c>
      <c r="I123" s="13">
        <f>IF($H123="","",IF($H123&gt;=6,"Ação imediata",IF($H123&gt;=4,"Monitoramento","Aceitável")))</f>
        <v/>
      </c>
      <c r="J123" s="12" t="n"/>
      <c r="K123" s="12" t="n"/>
      <c r="L123" s="12" t="n"/>
    </row>
    <row r="124" ht="30" customHeight="1">
      <c r="A124" s="4" t="n"/>
      <c r="B124" s="4" t="n"/>
      <c r="C124" s="4" t="n"/>
      <c r="D124" s="4" t="n"/>
      <c r="E124" s="4" t="n"/>
      <c r="F124" s="4" t="n"/>
      <c r="G124" s="4" t="n"/>
      <c r="H124" s="13">
        <f>IF(OR($F124="",$G124=""),"",$F124*$G124)</f>
        <v/>
      </c>
      <c r="I124" s="13">
        <f>IF($H124="","",IF($H124&gt;=6,"Ação imediata",IF($H124&gt;=4,"Monitoramento","Aceitável")))</f>
        <v/>
      </c>
      <c r="J124" s="4" t="n"/>
      <c r="K124" s="4" t="n"/>
      <c r="L124" s="4" t="n"/>
    </row>
    <row r="125" ht="30" customHeight="1">
      <c r="A125" s="12" t="n"/>
      <c r="B125" s="12" t="n"/>
      <c r="C125" s="12" t="n"/>
      <c r="D125" s="12" t="n"/>
      <c r="E125" s="12" t="n"/>
      <c r="F125" s="12" t="n"/>
      <c r="G125" s="12" t="n"/>
      <c r="H125" s="13">
        <f>IF(OR($F125="",$G125=""),"",$F125*$G125)</f>
        <v/>
      </c>
      <c r="I125" s="13">
        <f>IF($H125="","",IF($H125&gt;=6,"Ação imediata",IF($H125&gt;=4,"Monitoramento","Aceitável")))</f>
        <v/>
      </c>
      <c r="J125" s="12" t="n"/>
      <c r="K125" s="12" t="n"/>
      <c r="L125" s="12" t="n"/>
    </row>
    <row r="126" ht="30" customHeight="1">
      <c r="A126" s="4" t="n"/>
      <c r="B126" s="4" t="n"/>
      <c r="C126" s="4" t="n"/>
      <c r="D126" s="4" t="n"/>
      <c r="E126" s="4" t="n"/>
      <c r="F126" s="4" t="n"/>
      <c r="G126" s="4" t="n"/>
      <c r="H126" s="13">
        <f>IF(OR($F126="",$G126=""),"",$F126*$G126)</f>
        <v/>
      </c>
      <c r="I126" s="13">
        <f>IF($H126="","",IF($H126&gt;=6,"Ação imediata",IF($H126&gt;=4,"Monitoramento","Aceitável")))</f>
        <v/>
      </c>
      <c r="J126" s="4" t="n"/>
      <c r="K126" s="4" t="n"/>
      <c r="L126" s="4" t="n"/>
    </row>
    <row r="127" ht="30" customHeight="1">
      <c r="A127" s="12" t="n"/>
      <c r="B127" s="12" t="n"/>
      <c r="C127" s="12" t="n"/>
      <c r="D127" s="12" t="n"/>
      <c r="E127" s="12" t="n"/>
      <c r="F127" s="12" t="n"/>
      <c r="G127" s="12" t="n"/>
      <c r="H127" s="13">
        <f>IF(OR($F127="",$G127=""),"",$F127*$G127)</f>
        <v/>
      </c>
      <c r="I127" s="13">
        <f>IF($H127="","",IF($H127&gt;=6,"Ação imediata",IF($H127&gt;=4,"Monitoramento","Aceitável")))</f>
        <v/>
      </c>
      <c r="J127" s="12" t="n"/>
      <c r="K127" s="12" t="n"/>
      <c r="L127" s="12" t="n"/>
    </row>
    <row r="128" ht="30" customHeight="1">
      <c r="A128" s="4" t="n"/>
      <c r="B128" s="4" t="n"/>
      <c r="C128" s="4" t="n"/>
      <c r="D128" s="4" t="n"/>
      <c r="E128" s="4" t="n"/>
      <c r="F128" s="4" t="n"/>
      <c r="G128" s="4" t="n"/>
      <c r="H128" s="13">
        <f>IF(OR($F128="",$G128=""),"",$F128*$G128)</f>
        <v/>
      </c>
      <c r="I128" s="13">
        <f>IF($H128="","",IF($H128&gt;=6,"Ação imediata",IF($H128&gt;=4,"Monitoramento","Aceitável")))</f>
        <v/>
      </c>
      <c r="J128" s="4" t="n"/>
      <c r="K128" s="4" t="n"/>
      <c r="L128" s="4" t="n"/>
    </row>
    <row r="129" ht="30" customHeight="1">
      <c r="A129" s="12" t="n"/>
      <c r="B129" s="12" t="n"/>
      <c r="C129" s="12" t="n"/>
      <c r="D129" s="12" t="n"/>
      <c r="E129" s="12" t="n"/>
      <c r="F129" s="12" t="n"/>
      <c r="G129" s="12" t="n"/>
      <c r="H129" s="13">
        <f>IF(OR($F129="",$G129=""),"",$F129*$G129)</f>
        <v/>
      </c>
      <c r="I129" s="13">
        <f>IF($H129="","",IF($H129&gt;=6,"Ação imediata",IF($H129&gt;=4,"Monitoramento","Aceitável")))</f>
        <v/>
      </c>
      <c r="J129" s="12" t="n"/>
      <c r="K129" s="12" t="n"/>
      <c r="L129" s="12" t="n"/>
    </row>
    <row r="130" ht="30" customHeight="1">
      <c r="A130" s="4" t="n"/>
      <c r="B130" s="4" t="n"/>
      <c r="C130" s="4" t="n"/>
      <c r="D130" s="4" t="n"/>
      <c r="E130" s="4" t="n"/>
      <c r="F130" s="4" t="n"/>
      <c r="G130" s="4" t="n"/>
      <c r="H130" s="13">
        <f>IF(OR($F130="",$G130=""),"",$F130*$G130)</f>
        <v/>
      </c>
      <c r="I130" s="13">
        <f>IF($H130="","",IF($H130&gt;=6,"Ação imediata",IF($H130&gt;=4,"Monitoramento","Aceitável")))</f>
        <v/>
      </c>
      <c r="J130" s="4" t="n"/>
      <c r="K130" s="4" t="n"/>
      <c r="L130" s="4" t="n"/>
    </row>
    <row r="131" ht="30" customHeight="1">
      <c r="A131" s="12" t="n"/>
      <c r="B131" s="12" t="n"/>
      <c r="C131" s="12" t="n"/>
      <c r="D131" s="12" t="n"/>
      <c r="E131" s="12" t="n"/>
      <c r="F131" s="12" t="n"/>
      <c r="G131" s="12" t="n"/>
      <c r="H131" s="13">
        <f>IF(OR($F131="",$G131=""),"",$F131*$G131)</f>
        <v/>
      </c>
      <c r="I131" s="13">
        <f>IF($H131="","",IF($H131&gt;=6,"Ação imediata",IF($H131&gt;=4,"Monitoramento","Aceitável")))</f>
        <v/>
      </c>
      <c r="J131" s="12" t="n"/>
      <c r="K131" s="12" t="n"/>
      <c r="L131" s="12" t="n"/>
    </row>
    <row r="132" ht="30" customHeight="1">
      <c r="A132" s="4" t="n"/>
      <c r="B132" s="4" t="n"/>
      <c r="C132" s="4" t="n"/>
      <c r="D132" s="4" t="n"/>
      <c r="E132" s="4" t="n"/>
      <c r="F132" s="4" t="n"/>
      <c r="G132" s="4" t="n"/>
      <c r="H132" s="13">
        <f>IF(OR($F132="",$G132=""),"",$F132*$G132)</f>
        <v/>
      </c>
      <c r="I132" s="13">
        <f>IF($H132="","",IF($H132&gt;=6,"Ação imediata",IF($H132&gt;=4,"Monitoramento","Aceitável")))</f>
        <v/>
      </c>
      <c r="J132" s="4" t="n"/>
      <c r="K132" s="4" t="n"/>
      <c r="L132" s="4" t="n"/>
    </row>
    <row r="133" ht="30" customHeight="1">
      <c r="A133" s="12" t="n"/>
      <c r="B133" s="12" t="n"/>
      <c r="C133" s="12" t="n"/>
      <c r="D133" s="12" t="n"/>
      <c r="E133" s="12" t="n"/>
      <c r="F133" s="12" t="n"/>
      <c r="G133" s="12" t="n"/>
      <c r="H133" s="13">
        <f>IF(OR($F133="",$G133=""),"",$F133*$G133)</f>
        <v/>
      </c>
      <c r="I133" s="13">
        <f>IF($H133="","",IF($H133&gt;=6,"Ação imediata",IF($H133&gt;=4,"Monitoramento","Aceitável")))</f>
        <v/>
      </c>
      <c r="J133" s="12" t="n"/>
      <c r="K133" s="12" t="n"/>
      <c r="L133" s="12" t="n"/>
    </row>
    <row r="134" ht="30" customHeight="1">
      <c r="A134" s="4" t="n"/>
      <c r="B134" s="4" t="n"/>
      <c r="C134" s="4" t="n"/>
      <c r="D134" s="4" t="n"/>
      <c r="E134" s="4" t="n"/>
      <c r="F134" s="4" t="n"/>
      <c r="G134" s="4" t="n"/>
      <c r="H134" s="13">
        <f>IF(OR($F134="",$G134=""),"",$F134*$G134)</f>
        <v/>
      </c>
      <c r="I134" s="13">
        <f>IF($H134="","",IF($H134&gt;=6,"Ação imediata",IF($H134&gt;=4,"Monitoramento","Aceitável")))</f>
        <v/>
      </c>
      <c r="J134" s="4" t="n"/>
      <c r="K134" s="4" t="n"/>
      <c r="L134" s="4" t="n"/>
    </row>
    <row r="135" ht="30" customHeight="1">
      <c r="A135" s="12" t="n"/>
      <c r="B135" s="12" t="n"/>
      <c r="C135" s="12" t="n"/>
      <c r="D135" s="12" t="n"/>
      <c r="E135" s="12" t="n"/>
      <c r="F135" s="12" t="n"/>
      <c r="G135" s="12" t="n"/>
      <c r="H135" s="13">
        <f>IF(OR($F135="",$G135=""),"",$F135*$G135)</f>
        <v/>
      </c>
      <c r="I135" s="13">
        <f>IF($H135="","",IF($H135&gt;=6,"Ação imediata",IF($H135&gt;=4,"Monitoramento","Aceitável")))</f>
        <v/>
      </c>
      <c r="J135" s="12" t="n"/>
      <c r="K135" s="12" t="n"/>
      <c r="L135" s="12" t="n"/>
    </row>
    <row r="136" ht="30" customHeight="1">
      <c r="A136" s="4" t="n"/>
      <c r="B136" s="4" t="n"/>
      <c r="C136" s="4" t="n"/>
      <c r="D136" s="4" t="n"/>
      <c r="E136" s="4" t="n"/>
      <c r="F136" s="4" t="n"/>
      <c r="G136" s="4" t="n"/>
      <c r="H136" s="13">
        <f>IF(OR($F136="",$G136=""),"",$F136*$G136)</f>
        <v/>
      </c>
      <c r="I136" s="13">
        <f>IF($H136="","",IF($H136&gt;=6,"Ação imediata",IF($H136&gt;=4,"Monitoramento","Aceitável")))</f>
        <v/>
      </c>
      <c r="J136" s="4" t="n"/>
      <c r="K136" s="4" t="n"/>
      <c r="L136" s="4" t="n"/>
    </row>
    <row r="137" ht="30" customHeight="1">
      <c r="A137" s="12" t="n"/>
      <c r="B137" s="12" t="n"/>
      <c r="C137" s="12" t="n"/>
      <c r="D137" s="12" t="n"/>
      <c r="E137" s="12" t="n"/>
      <c r="F137" s="12" t="n"/>
      <c r="G137" s="12" t="n"/>
      <c r="H137" s="13">
        <f>IF(OR($F137="",$G137=""),"",$F137*$G137)</f>
        <v/>
      </c>
      <c r="I137" s="13">
        <f>IF($H137="","",IF($H137&gt;=6,"Ação imediata",IF($H137&gt;=4,"Monitoramento","Aceitável")))</f>
        <v/>
      </c>
      <c r="J137" s="12" t="n"/>
      <c r="K137" s="12" t="n"/>
      <c r="L137" s="12" t="n"/>
    </row>
    <row r="138" ht="30" customHeight="1">
      <c r="A138" s="4" t="n"/>
      <c r="B138" s="4" t="n"/>
      <c r="C138" s="4" t="n"/>
      <c r="D138" s="4" t="n"/>
      <c r="E138" s="4" t="n"/>
      <c r="F138" s="4" t="n"/>
      <c r="G138" s="4" t="n"/>
      <c r="H138" s="13">
        <f>IF(OR($F138="",$G138=""),"",$F138*$G138)</f>
        <v/>
      </c>
      <c r="I138" s="13">
        <f>IF($H138="","",IF($H138&gt;=6,"Ação imediata",IF($H138&gt;=4,"Monitoramento","Aceitável")))</f>
        <v/>
      </c>
      <c r="J138" s="4" t="n"/>
      <c r="K138" s="4" t="n"/>
      <c r="L138" s="4" t="n"/>
    </row>
    <row r="139" ht="30" customHeight="1">
      <c r="A139" s="12" t="n"/>
      <c r="B139" s="12" t="n"/>
      <c r="C139" s="12" t="n"/>
      <c r="D139" s="12" t="n"/>
      <c r="E139" s="12" t="n"/>
      <c r="F139" s="12" t="n"/>
      <c r="G139" s="12" t="n"/>
      <c r="H139" s="13">
        <f>IF(OR($F139="",$G139=""),"",$F139*$G139)</f>
        <v/>
      </c>
      <c r="I139" s="13">
        <f>IF($H139="","",IF($H139&gt;=6,"Ação imediata",IF($H139&gt;=4,"Monitoramento","Aceitável")))</f>
        <v/>
      </c>
      <c r="J139" s="12" t="n"/>
      <c r="K139" s="12" t="n"/>
      <c r="L139" s="12" t="n"/>
    </row>
    <row r="140" ht="30" customHeight="1">
      <c r="A140" s="4" t="n"/>
      <c r="B140" s="4" t="n"/>
      <c r="C140" s="4" t="n"/>
      <c r="D140" s="4" t="n"/>
      <c r="E140" s="4" t="n"/>
      <c r="F140" s="4" t="n"/>
      <c r="G140" s="4" t="n"/>
      <c r="H140" s="13">
        <f>IF(OR($F140="",$G140=""),"",$F140*$G140)</f>
        <v/>
      </c>
      <c r="I140" s="13">
        <f>IF($H140="","",IF($H140&gt;=6,"Ação imediata",IF($H140&gt;=4,"Monitoramento","Aceitável")))</f>
        <v/>
      </c>
      <c r="J140" s="4" t="n"/>
      <c r="K140" s="4" t="n"/>
      <c r="L140" s="4" t="n"/>
    </row>
    <row r="141" ht="30" customHeight="1">
      <c r="A141" s="12" t="n"/>
      <c r="B141" s="12" t="n"/>
      <c r="C141" s="12" t="n"/>
      <c r="D141" s="12" t="n"/>
      <c r="E141" s="12" t="n"/>
      <c r="F141" s="12" t="n"/>
      <c r="G141" s="12" t="n"/>
      <c r="H141" s="13">
        <f>IF(OR($F141="",$G141=""),"",$F141*$G141)</f>
        <v/>
      </c>
      <c r="I141" s="13">
        <f>IF($H141="","",IF($H141&gt;=6,"Ação imediata",IF($H141&gt;=4,"Monitoramento","Aceitável")))</f>
        <v/>
      </c>
      <c r="J141" s="12" t="n"/>
      <c r="K141" s="12" t="n"/>
      <c r="L141" s="12" t="n"/>
    </row>
    <row r="142" ht="30" customHeight="1">
      <c r="A142" s="4" t="n"/>
      <c r="B142" s="4" t="n"/>
      <c r="C142" s="4" t="n"/>
      <c r="D142" s="4" t="n"/>
      <c r="E142" s="4" t="n"/>
      <c r="F142" s="4" t="n"/>
      <c r="G142" s="4" t="n"/>
      <c r="H142" s="13">
        <f>IF(OR($F142="",$G142=""),"",$F142*$G142)</f>
        <v/>
      </c>
      <c r="I142" s="13">
        <f>IF($H142="","",IF($H142&gt;=6,"Ação imediata",IF($H142&gt;=4,"Monitoramento","Aceitável")))</f>
        <v/>
      </c>
      <c r="J142" s="4" t="n"/>
      <c r="K142" s="4" t="n"/>
      <c r="L142" s="4" t="n"/>
    </row>
    <row r="143" ht="30" customHeight="1">
      <c r="A143" s="12" t="n"/>
      <c r="B143" s="12" t="n"/>
      <c r="C143" s="12" t="n"/>
      <c r="D143" s="12" t="n"/>
      <c r="E143" s="12" t="n"/>
      <c r="F143" s="12" t="n"/>
      <c r="G143" s="12" t="n"/>
      <c r="H143" s="13">
        <f>IF(OR($F143="",$G143=""),"",$F143*$G143)</f>
        <v/>
      </c>
      <c r="I143" s="13">
        <f>IF($H143="","",IF($H143&gt;=6,"Ação imediata",IF($H143&gt;=4,"Monitoramento","Aceitável")))</f>
        <v/>
      </c>
      <c r="J143" s="12" t="n"/>
      <c r="K143" s="12" t="n"/>
      <c r="L143" s="12" t="n"/>
    </row>
    <row r="144" ht="30" customHeight="1">
      <c r="A144" s="4" t="n"/>
      <c r="B144" s="4" t="n"/>
      <c r="C144" s="4" t="n"/>
      <c r="D144" s="4" t="n"/>
      <c r="E144" s="4" t="n"/>
      <c r="F144" s="4" t="n"/>
      <c r="G144" s="4" t="n"/>
      <c r="H144" s="13">
        <f>IF(OR($F144="",$G144=""),"",$F144*$G144)</f>
        <v/>
      </c>
      <c r="I144" s="13">
        <f>IF($H144="","",IF($H144&gt;=6,"Ação imediata",IF($H144&gt;=4,"Monitoramento","Aceitável")))</f>
        <v/>
      </c>
      <c r="J144" s="4" t="n"/>
      <c r="K144" s="4" t="n"/>
      <c r="L144" s="4" t="n"/>
    </row>
    <row r="145" ht="30" customHeight="1">
      <c r="A145" s="12" t="n"/>
      <c r="B145" s="12" t="n"/>
      <c r="C145" s="12" t="n"/>
      <c r="D145" s="12" t="n"/>
      <c r="E145" s="12" t="n"/>
      <c r="F145" s="12" t="n"/>
      <c r="G145" s="12" t="n"/>
      <c r="H145" s="13">
        <f>IF(OR($F145="",$G145=""),"",$F145*$G145)</f>
        <v/>
      </c>
      <c r="I145" s="13">
        <f>IF($H145="","",IF($H145&gt;=6,"Ação imediata",IF($H145&gt;=4,"Monitoramento","Aceitável")))</f>
        <v/>
      </c>
      <c r="J145" s="12" t="n"/>
      <c r="K145" s="12" t="n"/>
      <c r="L145" s="12" t="n"/>
    </row>
    <row r="146" ht="30" customHeight="1">
      <c r="A146" s="4" t="n"/>
      <c r="B146" s="4" t="n"/>
      <c r="C146" s="4" t="n"/>
      <c r="D146" s="4" t="n"/>
      <c r="E146" s="4" t="n"/>
      <c r="F146" s="4" t="n"/>
      <c r="G146" s="4" t="n"/>
      <c r="H146" s="13">
        <f>IF(OR($F146="",$G146=""),"",$F146*$G146)</f>
        <v/>
      </c>
      <c r="I146" s="13">
        <f>IF($H146="","",IF($H146&gt;=6,"Ação imediata",IF($H146&gt;=4,"Monitoramento","Aceitável")))</f>
        <v/>
      </c>
      <c r="J146" s="4" t="n"/>
      <c r="K146" s="4" t="n"/>
      <c r="L146" s="4" t="n"/>
    </row>
    <row r="147" ht="30" customHeight="1">
      <c r="A147" s="12" t="n"/>
      <c r="B147" s="12" t="n"/>
      <c r="C147" s="12" t="n"/>
      <c r="D147" s="12" t="n"/>
      <c r="E147" s="12" t="n"/>
      <c r="F147" s="12" t="n"/>
      <c r="G147" s="12" t="n"/>
      <c r="H147" s="13">
        <f>IF(OR($F147="",$G147=""),"",$F147*$G147)</f>
        <v/>
      </c>
      <c r="I147" s="13">
        <f>IF($H147="","",IF($H147&gt;=6,"Ação imediata",IF($H147&gt;=4,"Monitoramento","Aceitável")))</f>
        <v/>
      </c>
      <c r="J147" s="12" t="n"/>
      <c r="K147" s="12" t="n"/>
      <c r="L147" s="12" t="n"/>
    </row>
    <row r="148" ht="30" customHeight="1">
      <c r="A148" s="4" t="n"/>
      <c r="B148" s="4" t="n"/>
      <c r="C148" s="4" t="n"/>
      <c r="D148" s="4" t="n"/>
      <c r="E148" s="4" t="n"/>
      <c r="F148" s="4" t="n"/>
      <c r="G148" s="4" t="n"/>
      <c r="H148" s="13">
        <f>IF(OR($F148="",$G148=""),"",$F148*$G148)</f>
        <v/>
      </c>
      <c r="I148" s="13">
        <f>IF($H148="","",IF($H148&gt;=6,"Ação imediata",IF($H148&gt;=4,"Monitoramento","Aceitável")))</f>
        <v/>
      </c>
      <c r="J148" s="4" t="n"/>
      <c r="K148" s="4" t="n"/>
      <c r="L148" s="4" t="n"/>
    </row>
    <row r="149" ht="30" customHeight="1">
      <c r="A149" s="12" t="n"/>
      <c r="B149" s="12" t="n"/>
      <c r="C149" s="12" t="n"/>
      <c r="D149" s="12" t="n"/>
      <c r="E149" s="12" t="n"/>
      <c r="F149" s="12" t="n"/>
      <c r="G149" s="12" t="n"/>
      <c r="H149" s="13">
        <f>IF(OR($F149="",$G149=""),"",$F149*$G149)</f>
        <v/>
      </c>
      <c r="I149" s="13">
        <f>IF($H149="","",IF($H149&gt;=6,"Ação imediata",IF($H149&gt;=4,"Monitoramento","Aceitável")))</f>
        <v/>
      </c>
      <c r="J149" s="12" t="n"/>
      <c r="K149" s="12" t="n"/>
      <c r="L149" s="12" t="n"/>
    </row>
    <row r="150" ht="30" customHeight="1">
      <c r="A150" s="4" t="n"/>
      <c r="B150" s="4" t="n"/>
      <c r="C150" s="4" t="n"/>
      <c r="D150" s="4" t="n"/>
      <c r="E150" s="4" t="n"/>
      <c r="F150" s="4" t="n"/>
      <c r="G150" s="4" t="n"/>
      <c r="H150" s="13">
        <f>IF(OR($F150="",$G150=""),"",$F150*$G150)</f>
        <v/>
      </c>
      <c r="I150" s="13">
        <f>IF($H150="","",IF($H150&gt;=6,"Ação imediata",IF($H150&gt;=4,"Monitoramento","Aceitável")))</f>
        <v/>
      </c>
      <c r="J150" s="4" t="n"/>
      <c r="K150" s="4" t="n"/>
      <c r="L150" s="4" t="n"/>
    </row>
    <row r="151" ht="30" customHeight="1">
      <c r="A151" s="12" t="n"/>
      <c r="B151" s="12" t="n"/>
      <c r="C151" s="12" t="n"/>
      <c r="D151" s="12" t="n"/>
      <c r="E151" s="12" t="n"/>
      <c r="F151" s="12" t="n"/>
      <c r="G151" s="12" t="n"/>
      <c r="H151" s="13">
        <f>IF(OR($F151="",$G151=""),"",$F151*$G151)</f>
        <v/>
      </c>
      <c r="I151" s="13">
        <f>IF($H151="","",IF($H151&gt;=6,"Ação imediata",IF($H151&gt;=4,"Monitoramento","Aceitável")))</f>
        <v/>
      </c>
      <c r="J151" s="12" t="n"/>
      <c r="K151" s="12" t="n"/>
      <c r="L151" s="12" t="n"/>
    </row>
    <row r="152" ht="30" customHeight="1">
      <c r="A152" s="4" t="n"/>
      <c r="B152" s="4" t="n"/>
      <c r="C152" s="4" t="n"/>
      <c r="D152" s="4" t="n"/>
      <c r="E152" s="4" t="n"/>
      <c r="F152" s="4" t="n"/>
      <c r="G152" s="4" t="n"/>
      <c r="H152" s="13">
        <f>IF(OR($F152="",$G152=""),"",$F152*$G152)</f>
        <v/>
      </c>
      <c r="I152" s="13">
        <f>IF($H152="","",IF($H152&gt;=6,"Ação imediata",IF($H152&gt;=4,"Monitoramento","Aceitável")))</f>
        <v/>
      </c>
      <c r="J152" s="4" t="n"/>
      <c r="K152" s="4" t="n"/>
      <c r="L152" s="4" t="n"/>
    </row>
    <row r="153" ht="30" customHeight="1">
      <c r="A153" s="12" t="n"/>
      <c r="B153" s="12" t="n"/>
      <c r="C153" s="12" t="n"/>
      <c r="D153" s="12" t="n"/>
      <c r="E153" s="12" t="n"/>
      <c r="F153" s="12" t="n"/>
      <c r="G153" s="12" t="n"/>
      <c r="H153" s="13">
        <f>IF(OR($F153="",$G153=""),"",$F153*$G153)</f>
        <v/>
      </c>
      <c r="I153" s="13">
        <f>IF($H153="","",IF($H153&gt;=6,"Ação imediata",IF($H153&gt;=4,"Monitoramento","Aceitável")))</f>
        <v/>
      </c>
      <c r="J153" s="12" t="n"/>
      <c r="K153" s="12" t="n"/>
      <c r="L153" s="12" t="n"/>
    </row>
    <row r="154" ht="30" customHeight="1">
      <c r="A154" s="4" t="n"/>
      <c r="B154" s="4" t="n"/>
      <c r="C154" s="4" t="n"/>
      <c r="D154" s="4" t="n"/>
      <c r="E154" s="4" t="n"/>
      <c r="F154" s="4" t="n"/>
      <c r="G154" s="4" t="n"/>
      <c r="H154" s="13">
        <f>IF(OR($F154="",$G154=""),"",$F154*$G154)</f>
        <v/>
      </c>
      <c r="I154" s="13">
        <f>IF($H154="","",IF($H154&gt;=6,"Ação imediata",IF($H154&gt;=4,"Monitoramento","Aceitável")))</f>
        <v/>
      </c>
      <c r="J154" s="4" t="n"/>
      <c r="K154" s="4" t="n"/>
      <c r="L154" s="4" t="n"/>
    </row>
    <row r="155" ht="30" customHeight="1">
      <c r="A155" s="12" t="n"/>
      <c r="B155" s="12" t="n"/>
      <c r="C155" s="12" t="n"/>
      <c r="D155" s="12" t="n"/>
      <c r="E155" s="12" t="n"/>
      <c r="F155" s="12" t="n"/>
      <c r="G155" s="12" t="n"/>
      <c r="H155" s="13">
        <f>IF(OR($F155="",$G155=""),"",$F155*$G155)</f>
        <v/>
      </c>
      <c r="I155" s="13">
        <f>IF($H155="","",IF($H155&gt;=6,"Ação imediata",IF($H155&gt;=4,"Monitoramento","Aceitável")))</f>
        <v/>
      </c>
      <c r="J155" s="12" t="n"/>
      <c r="K155" s="12" t="n"/>
      <c r="L155" s="12" t="n"/>
    </row>
    <row r="156" ht="30" customHeight="1">
      <c r="A156" s="4" t="n"/>
      <c r="B156" s="4" t="n"/>
      <c r="C156" s="4" t="n"/>
      <c r="D156" s="4" t="n"/>
      <c r="E156" s="4" t="n"/>
      <c r="F156" s="4" t="n"/>
      <c r="G156" s="4" t="n"/>
      <c r="H156" s="13">
        <f>IF(OR($F156="",$G156=""),"",$F156*$G156)</f>
        <v/>
      </c>
      <c r="I156" s="13">
        <f>IF($H156="","",IF($H156&gt;=6,"Ação imediata",IF($H156&gt;=4,"Monitoramento","Aceitável")))</f>
        <v/>
      </c>
      <c r="J156" s="4" t="n"/>
      <c r="K156" s="4" t="n"/>
      <c r="L156" s="4" t="n"/>
    </row>
    <row r="157" ht="30" customHeight="1">
      <c r="A157" s="12" t="n"/>
      <c r="B157" s="12" t="n"/>
      <c r="C157" s="12" t="n"/>
      <c r="D157" s="12" t="n"/>
      <c r="E157" s="12" t="n"/>
      <c r="F157" s="12" t="n"/>
      <c r="G157" s="12" t="n"/>
      <c r="H157" s="13">
        <f>IF(OR($F157="",$G157=""),"",$F157*$G157)</f>
        <v/>
      </c>
      <c r="I157" s="13">
        <f>IF($H157="","",IF($H157&gt;=6,"Ação imediata",IF($H157&gt;=4,"Monitoramento","Aceitável")))</f>
        <v/>
      </c>
      <c r="J157" s="12" t="n"/>
      <c r="K157" s="12" t="n"/>
      <c r="L157" s="12" t="n"/>
    </row>
    <row r="158" ht="30" customHeight="1">
      <c r="A158" s="4" t="n"/>
      <c r="B158" s="4" t="n"/>
      <c r="C158" s="4" t="n"/>
      <c r="D158" s="4" t="n"/>
      <c r="E158" s="4" t="n"/>
      <c r="F158" s="4" t="n"/>
      <c r="G158" s="4" t="n"/>
      <c r="H158" s="13">
        <f>IF(OR($F158="",$G158=""),"",$F158*$G158)</f>
        <v/>
      </c>
      <c r="I158" s="13">
        <f>IF($H158="","",IF($H158&gt;=6,"Ação imediata",IF($H158&gt;=4,"Monitoramento","Aceitável")))</f>
        <v/>
      </c>
      <c r="J158" s="4" t="n"/>
      <c r="K158" s="4" t="n"/>
      <c r="L158" s="4" t="n"/>
    </row>
    <row r="159" ht="30" customHeight="1">
      <c r="A159" s="12" t="n"/>
      <c r="B159" s="12" t="n"/>
      <c r="C159" s="12" t="n"/>
      <c r="D159" s="12" t="n"/>
      <c r="E159" s="12" t="n"/>
      <c r="F159" s="12" t="n"/>
      <c r="G159" s="12" t="n"/>
      <c r="H159" s="13">
        <f>IF(OR($F159="",$G159=""),"",$F159*$G159)</f>
        <v/>
      </c>
      <c r="I159" s="13">
        <f>IF($H159="","",IF($H159&gt;=6,"Ação imediata",IF($H159&gt;=4,"Monitoramento","Aceitável")))</f>
        <v/>
      </c>
      <c r="J159" s="12" t="n"/>
      <c r="K159" s="12" t="n"/>
      <c r="L159" s="12" t="n"/>
    </row>
    <row r="160" ht="30" customHeight="1">
      <c r="A160" s="4" t="n"/>
      <c r="B160" s="4" t="n"/>
      <c r="C160" s="4" t="n"/>
      <c r="D160" s="4" t="n"/>
      <c r="E160" s="4" t="n"/>
      <c r="F160" s="4" t="n"/>
      <c r="G160" s="4" t="n"/>
      <c r="H160" s="13">
        <f>IF(OR($F160="",$G160=""),"",$F160*$G160)</f>
        <v/>
      </c>
      <c r="I160" s="13">
        <f>IF($H160="","",IF($H160&gt;=6,"Ação imediata",IF($H160&gt;=4,"Monitoramento","Aceitável")))</f>
        <v/>
      </c>
      <c r="J160" s="4" t="n"/>
      <c r="K160" s="4" t="n"/>
      <c r="L160" s="4" t="n"/>
    </row>
    <row r="161" ht="30" customHeight="1">
      <c r="A161" s="12" t="n"/>
      <c r="B161" s="12" t="n"/>
      <c r="C161" s="12" t="n"/>
      <c r="D161" s="12" t="n"/>
      <c r="E161" s="12" t="n"/>
      <c r="F161" s="12" t="n"/>
      <c r="G161" s="12" t="n"/>
      <c r="H161" s="13">
        <f>IF(OR($F161="",$G161=""),"",$F161*$G161)</f>
        <v/>
      </c>
      <c r="I161" s="13">
        <f>IF($H161="","",IF($H161&gt;=6,"Ação imediata",IF($H161&gt;=4,"Monitoramento","Aceitável")))</f>
        <v/>
      </c>
      <c r="J161" s="12" t="n"/>
      <c r="K161" s="12" t="n"/>
      <c r="L161" s="12" t="n"/>
    </row>
    <row r="162" ht="30" customHeight="1">
      <c r="A162" s="4" t="n"/>
      <c r="B162" s="4" t="n"/>
      <c r="C162" s="4" t="n"/>
      <c r="D162" s="4" t="n"/>
      <c r="E162" s="4" t="n"/>
      <c r="F162" s="4" t="n"/>
      <c r="G162" s="4" t="n"/>
      <c r="H162" s="13">
        <f>IF(OR($F162="",$G162=""),"",$F162*$G162)</f>
        <v/>
      </c>
      <c r="I162" s="13">
        <f>IF($H162="","",IF($H162&gt;=6,"Ação imediata",IF($H162&gt;=4,"Monitoramento","Aceitável")))</f>
        <v/>
      </c>
      <c r="J162" s="4" t="n"/>
      <c r="K162" s="4" t="n"/>
      <c r="L162" s="4" t="n"/>
    </row>
    <row r="163" ht="30" customHeight="1">
      <c r="A163" s="12" t="n"/>
      <c r="B163" s="12" t="n"/>
      <c r="C163" s="12" t="n"/>
      <c r="D163" s="12" t="n"/>
      <c r="E163" s="12" t="n"/>
      <c r="F163" s="12" t="n"/>
      <c r="G163" s="12" t="n"/>
      <c r="H163" s="13">
        <f>IF(OR($F163="",$G163=""),"",$F163*$G163)</f>
        <v/>
      </c>
      <c r="I163" s="13">
        <f>IF($H163="","",IF($H163&gt;=6,"Ação imediata",IF($H163&gt;=4,"Monitoramento","Aceitável")))</f>
        <v/>
      </c>
      <c r="J163" s="12" t="n"/>
      <c r="K163" s="12" t="n"/>
      <c r="L163" s="12" t="n"/>
    </row>
    <row r="164" ht="30" customHeight="1">
      <c r="A164" s="4" t="n"/>
      <c r="B164" s="4" t="n"/>
      <c r="C164" s="4" t="n"/>
      <c r="D164" s="4" t="n"/>
      <c r="E164" s="4" t="n"/>
      <c r="F164" s="4" t="n"/>
      <c r="G164" s="4" t="n"/>
      <c r="H164" s="13">
        <f>IF(OR($F164="",$G164=""),"",$F164*$G164)</f>
        <v/>
      </c>
      <c r="I164" s="13">
        <f>IF($H164="","",IF($H164&gt;=6,"Ação imediata",IF($H164&gt;=4,"Monitoramento","Aceitável")))</f>
        <v/>
      </c>
      <c r="J164" s="4" t="n"/>
      <c r="K164" s="4" t="n"/>
      <c r="L164" s="4" t="n"/>
    </row>
    <row r="165" ht="30" customHeight="1">
      <c r="A165" s="12" t="n"/>
      <c r="B165" s="12" t="n"/>
      <c r="C165" s="12" t="n"/>
      <c r="D165" s="12" t="n"/>
      <c r="E165" s="12" t="n"/>
      <c r="F165" s="12" t="n"/>
      <c r="G165" s="12" t="n"/>
      <c r="H165" s="13">
        <f>IF(OR($F165="",$G165=""),"",$F165*$G165)</f>
        <v/>
      </c>
      <c r="I165" s="13">
        <f>IF($H165="","",IF($H165&gt;=6,"Ação imediata",IF($H165&gt;=4,"Monitoramento","Aceitável")))</f>
        <v/>
      </c>
      <c r="J165" s="12" t="n"/>
      <c r="K165" s="12" t="n"/>
      <c r="L165" s="12" t="n"/>
    </row>
    <row r="166" ht="30" customHeight="1">
      <c r="A166" s="4" t="n"/>
      <c r="B166" s="4" t="n"/>
      <c r="C166" s="4" t="n"/>
      <c r="D166" s="4" t="n"/>
      <c r="E166" s="4" t="n"/>
      <c r="F166" s="4" t="n"/>
      <c r="G166" s="4" t="n"/>
      <c r="H166" s="13">
        <f>IF(OR($F166="",$G166=""),"",$F166*$G166)</f>
        <v/>
      </c>
      <c r="I166" s="13">
        <f>IF($H166="","",IF($H166&gt;=6,"Ação imediata",IF($H166&gt;=4,"Monitoramento","Aceitável")))</f>
        <v/>
      </c>
      <c r="J166" s="4" t="n"/>
      <c r="K166" s="4" t="n"/>
      <c r="L166" s="4" t="n"/>
    </row>
    <row r="167" ht="30" customHeight="1">
      <c r="A167" s="12" t="n"/>
      <c r="B167" s="12" t="n"/>
      <c r="C167" s="12" t="n"/>
      <c r="D167" s="12" t="n"/>
      <c r="E167" s="12" t="n"/>
      <c r="F167" s="12" t="n"/>
      <c r="G167" s="12" t="n"/>
      <c r="H167" s="13">
        <f>IF(OR($F167="",$G167=""),"",$F167*$G167)</f>
        <v/>
      </c>
      <c r="I167" s="13">
        <f>IF($H167="","",IF($H167&gt;=6,"Ação imediata",IF($H167&gt;=4,"Monitoramento","Aceitável")))</f>
        <v/>
      </c>
      <c r="J167" s="12" t="n"/>
      <c r="K167" s="12" t="n"/>
      <c r="L167" s="12" t="n"/>
    </row>
    <row r="168" ht="30" customHeight="1">
      <c r="A168" s="4" t="n"/>
      <c r="B168" s="4" t="n"/>
      <c r="C168" s="4" t="n"/>
      <c r="D168" s="4" t="n"/>
      <c r="E168" s="4" t="n"/>
      <c r="F168" s="4" t="n"/>
      <c r="G168" s="4" t="n"/>
      <c r="H168" s="13">
        <f>IF(OR($F168="",$G168=""),"",$F168*$G168)</f>
        <v/>
      </c>
      <c r="I168" s="13">
        <f>IF($H168="","",IF($H168&gt;=6,"Ação imediata",IF($H168&gt;=4,"Monitoramento","Aceitável")))</f>
        <v/>
      </c>
      <c r="J168" s="4" t="n"/>
      <c r="K168" s="4" t="n"/>
      <c r="L168" s="4" t="n"/>
    </row>
    <row r="169" ht="30" customHeight="1">
      <c r="A169" s="12" t="n"/>
      <c r="B169" s="12" t="n"/>
      <c r="C169" s="12" t="n"/>
      <c r="D169" s="12" t="n"/>
      <c r="E169" s="12" t="n"/>
      <c r="F169" s="12" t="n"/>
      <c r="G169" s="12" t="n"/>
      <c r="H169" s="13">
        <f>IF(OR($F169="",$G169=""),"",$F169*$G169)</f>
        <v/>
      </c>
      <c r="I169" s="13">
        <f>IF($H169="","",IF($H169&gt;=6,"Ação imediata",IF($H169&gt;=4,"Monitoramento","Aceitável")))</f>
        <v/>
      </c>
      <c r="J169" s="12" t="n"/>
      <c r="K169" s="12" t="n"/>
      <c r="L169" s="12" t="n"/>
    </row>
    <row r="170" ht="30" customHeight="1">
      <c r="A170" s="4" t="n"/>
      <c r="B170" s="4" t="n"/>
      <c r="C170" s="4" t="n"/>
      <c r="D170" s="4" t="n"/>
      <c r="E170" s="4" t="n"/>
      <c r="F170" s="4" t="n"/>
      <c r="G170" s="4" t="n"/>
      <c r="H170" s="13">
        <f>IF(OR($F170="",$G170=""),"",$F170*$G170)</f>
        <v/>
      </c>
      <c r="I170" s="13">
        <f>IF($H170="","",IF($H170&gt;=6,"Ação imediata",IF($H170&gt;=4,"Monitoramento","Aceitável")))</f>
        <v/>
      </c>
      <c r="J170" s="4" t="n"/>
      <c r="K170" s="4" t="n"/>
      <c r="L170" s="4" t="n"/>
    </row>
    <row r="171" ht="30" customHeight="1">
      <c r="A171" s="12" t="n"/>
      <c r="B171" s="12" t="n"/>
      <c r="C171" s="12" t="n"/>
      <c r="D171" s="12" t="n"/>
      <c r="E171" s="12" t="n"/>
      <c r="F171" s="12" t="n"/>
      <c r="G171" s="12" t="n"/>
      <c r="H171" s="13">
        <f>IF(OR($F171="",$G171=""),"",$F171*$G171)</f>
        <v/>
      </c>
      <c r="I171" s="13">
        <f>IF($H171="","",IF($H171&gt;=6,"Ação imediata",IF($H171&gt;=4,"Monitoramento","Aceitável")))</f>
        <v/>
      </c>
      <c r="J171" s="12" t="n"/>
      <c r="K171" s="12" t="n"/>
      <c r="L171" s="12" t="n"/>
    </row>
    <row r="172" ht="30" customHeight="1">
      <c r="A172" s="4" t="n"/>
      <c r="B172" s="4" t="n"/>
      <c r="C172" s="4" t="n"/>
      <c r="D172" s="4" t="n"/>
      <c r="E172" s="4" t="n"/>
      <c r="F172" s="4" t="n"/>
      <c r="G172" s="4" t="n"/>
      <c r="H172" s="13">
        <f>IF(OR($F172="",$G172=""),"",$F172*$G172)</f>
        <v/>
      </c>
      <c r="I172" s="13">
        <f>IF($H172="","",IF($H172&gt;=6,"Ação imediata",IF($H172&gt;=4,"Monitoramento","Aceitável")))</f>
        <v/>
      </c>
      <c r="J172" s="4" t="n"/>
      <c r="K172" s="4" t="n"/>
      <c r="L172" s="4" t="n"/>
    </row>
    <row r="173" ht="30" customHeight="1">
      <c r="A173" s="12" t="n"/>
      <c r="B173" s="12" t="n"/>
      <c r="C173" s="12" t="n"/>
      <c r="D173" s="12" t="n"/>
      <c r="E173" s="12" t="n"/>
      <c r="F173" s="12" t="n"/>
      <c r="G173" s="12" t="n"/>
      <c r="H173" s="13">
        <f>IF(OR($F173="",$G173=""),"",$F173*$G173)</f>
        <v/>
      </c>
      <c r="I173" s="13">
        <f>IF($H173="","",IF($H173&gt;=6,"Ação imediata",IF($H173&gt;=4,"Monitoramento","Aceitável")))</f>
        <v/>
      </c>
      <c r="J173" s="12" t="n"/>
      <c r="K173" s="12" t="n"/>
      <c r="L173" s="12" t="n"/>
    </row>
    <row r="174" ht="30" customHeight="1">
      <c r="A174" s="4" t="n"/>
      <c r="B174" s="4" t="n"/>
      <c r="C174" s="4" t="n"/>
      <c r="D174" s="4" t="n"/>
      <c r="E174" s="4" t="n"/>
      <c r="F174" s="4" t="n"/>
      <c r="G174" s="4" t="n"/>
      <c r="H174" s="13">
        <f>IF(OR($F174="",$G174=""),"",$F174*$G174)</f>
        <v/>
      </c>
      <c r="I174" s="13">
        <f>IF($H174="","",IF($H174&gt;=6,"Ação imediata",IF($H174&gt;=4,"Monitoramento","Aceitável")))</f>
        <v/>
      </c>
      <c r="J174" s="4" t="n"/>
      <c r="K174" s="4" t="n"/>
      <c r="L174" s="4" t="n"/>
    </row>
    <row r="175" ht="30" customHeight="1">
      <c r="A175" s="12" t="n"/>
      <c r="B175" s="12" t="n"/>
      <c r="C175" s="12" t="n"/>
      <c r="D175" s="12" t="n"/>
      <c r="E175" s="12" t="n"/>
      <c r="F175" s="12" t="n"/>
      <c r="G175" s="12" t="n"/>
      <c r="H175" s="13">
        <f>IF(OR($F175="",$G175=""),"",$F175*$G175)</f>
        <v/>
      </c>
      <c r="I175" s="13">
        <f>IF($H175="","",IF($H175&gt;=6,"Ação imediata",IF($H175&gt;=4,"Monitoramento","Aceitável")))</f>
        <v/>
      </c>
      <c r="J175" s="12" t="n"/>
      <c r="K175" s="12" t="n"/>
      <c r="L175" s="12" t="n"/>
    </row>
    <row r="176" ht="30" customHeight="1">
      <c r="A176" s="4" t="n"/>
      <c r="B176" s="4" t="n"/>
      <c r="C176" s="4" t="n"/>
      <c r="D176" s="4" t="n"/>
      <c r="E176" s="4" t="n"/>
      <c r="F176" s="4" t="n"/>
      <c r="G176" s="4" t="n"/>
      <c r="H176" s="13">
        <f>IF(OR($F176="",$G176=""),"",$F176*$G176)</f>
        <v/>
      </c>
      <c r="I176" s="13">
        <f>IF($H176="","",IF($H176&gt;=6,"Ação imediata",IF($H176&gt;=4,"Monitoramento","Aceitável")))</f>
        <v/>
      </c>
      <c r="J176" s="4" t="n"/>
      <c r="K176" s="4" t="n"/>
      <c r="L176" s="4" t="n"/>
    </row>
    <row r="177" ht="30" customHeight="1">
      <c r="A177" s="12" t="n"/>
      <c r="B177" s="12" t="n"/>
      <c r="C177" s="12" t="n"/>
      <c r="D177" s="12" t="n"/>
      <c r="E177" s="12" t="n"/>
      <c r="F177" s="12" t="n"/>
      <c r="G177" s="12" t="n"/>
      <c r="H177" s="13">
        <f>IF(OR($F177="",$G177=""),"",$F177*$G177)</f>
        <v/>
      </c>
      <c r="I177" s="13">
        <f>IF($H177="","",IF($H177&gt;=6,"Ação imediata",IF($H177&gt;=4,"Monitoramento","Aceitável")))</f>
        <v/>
      </c>
      <c r="J177" s="12" t="n"/>
      <c r="K177" s="12" t="n"/>
      <c r="L177" s="12" t="n"/>
    </row>
    <row r="178" ht="30" customHeight="1">
      <c r="A178" s="4" t="n"/>
      <c r="B178" s="4" t="n"/>
      <c r="C178" s="4" t="n"/>
      <c r="D178" s="4" t="n"/>
      <c r="E178" s="4" t="n"/>
      <c r="F178" s="4" t="n"/>
      <c r="G178" s="4" t="n"/>
      <c r="H178" s="13">
        <f>IF(OR($F178="",$G178=""),"",$F178*$G178)</f>
        <v/>
      </c>
      <c r="I178" s="13">
        <f>IF($H178="","",IF($H178&gt;=6,"Ação imediata",IF($H178&gt;=4,"Monitoramento","Aceitável")))</f>
        <v/>
      </c>
      <c r="J178" s="4" t="n"/>
      <c r="K178" s="4" t="n"/>
      <c r="L178" s="4" t="n"/>
    </row>
    <row r="179" ht="30" customHeight="1">
      <c r="A179" s="12" t="n"/>
      <c r="B179" s="12" t="n"/>
      <c r="C179" s="12" t="n"/>
      <c r="D179" s="12" t="n"/>
      <c r="E179" s="12" t="n"/>
      <c r="F179" s="12" t="n"/>
      <c r="G179" s="12" t="n"/>
      <c r="H179" s="13">
        <f>IF(OR($F179="",$G179=""),"",$F179*$G179)</f>
        <v/>
      </c>
      <c r="I179" s="13">
        <f>IF($H179="","",IF($H179&gt;=6,"Ação imediata",IF($H179&gt;=4,"Monitoramento","Aceitável")))</f>
        <v/>
      </c>
      <c r="J179" s="12" t="n"/>
      <c r="K179" s="12" t="n"/>
      <c r="L179" s="12" t="n"/>
    </row>
    <row r="180" ht="30" customHeight="1">
      <c r="A180" s="4" t="n"/>
      <c r="B180" s="4" t="n"/>
      <c r="C180" s="4" t="n"/>
      <c r="D180" s="4" t="n"/>
      <c r="E180" s="4" t="n"/>
      <c r="F180" s="4" t="n"/>
      <c r="G180" s="4" t="n"/>
      <c r="H180" s="13">
        <f>IF(OR($F180="",$G180=""),"",$F180*$G180)</f>
        <v/>
      </c>
      <c r="I180" s="13">
        <f>IF($H180="","",IF($H180&gt;=6,"Ação imediata",IF($H180&gt;=4,"Monitoramento","Aceitável")))</f>
        <v/>
      </c>
      <c r="J180" s="4" t="n"/>
      <c r="K180" s="4" t="n"/>
      <c r="L180" s="4" t="n"/>
    </row>
    <row r="181" ht="30" customHeight="1">
      <c r="A181" s="12" t="n"/>
      <c r="B181" s="12" t="n"/>
      <c r="C181" s="12" t="n"/>
      <c r="D181" s="12" t="n"/>
      <c r="E181" s="12" t="n"/>
      <c r="F181" s="12" t="n"/>
      <c r="G181" s="12" t="n"/>
      <c r="H181" s="13">
        <f>IF(OR($F181="",$G181=""),"",$F181*$G181)</f>
        <v/>
      </c>
      <c r="I181" s="13">
        <f>IF($H181="","",IF($H181&gt;=6,"Ação imediata",IF($H181&gt;=4,"Monitoramento","Aceitável")))</f>
        <v/>
      </c>
      <c r="J181" s="12" t="n"/>
      <c r="K181" s="12" t="n"/>
      <c r="L181" s="12" t="n"/>
    </row>
    <row r="182" ht="30" customHeight="1">
      <c r="A182" s="4" t="n"/>
      <c r="B182" s="4" t="n"/>
      <c r="C182" s="4" t="n"/>
      <c r="D182" s="4" t="n"/>
      <c r="E182" s="4" t="n"/>
      <c r="F182" s="4" t="n"/>
      <c r="G182" s="4" t="n"/>
      <c r="H182" s="13">
        <f>IF(OR($F182="",$G182=""),"",$F182*$G182)</f>
        <v/>
      </c>
      <c r="I182" s="13">
        <f>IF($H182="","",IF($H182&gt;=6,"Ação imediata",IF($H182&gt;=4,"Monitoramento","Aceitável")))</f>
        <v/>
      </c>
      <c r="J182" s="4" t="n"/>
      <c r="K182" s="4" t="n"/>
      <c r="L182" s="4" t="n"/>
    </row>
    <row r="183" ht="30" customHeight="1">
      <c r="A183" s="12" t="n"/>
      <c r="B183" s="12" t="n"/>
      <c r="C183" s="12" t="n"/>
      <c r="D183" s="12" t="n"/>
      <c r="E183" s="12" t="n"/>
      <c r="F183" s="12" t="n"/>
      <c r="G183" s="12" t="n"/>
      <c r="H183" s="13">
        <f>IF(OR($F183="",$G183=""),"",$F183*$G183)</f>
        <v/>
      </c>
      <c r="I183" s="13">
        <f>IF($H183="","",IF($H183&gt;=6,"Ação imediata",IF($H183&gt;=4,"Monitoramento","Aceitável")))</f>
        <v/>
      </c>
      <c r="J183" s="12" t="n"/>
      <c r="K183" s="12" t="n"/>
      <c r="L183" s="12" t="n"/>
    </row>
    <row r="184" ht="30" customHeight="1">
      <c r="A184" s="4" t="n"/>
      <c r="B184" s="4" t="n"/>
      <c r="C184" s="4" t="n"/>
      <c r="D184" s="4" t="n"/>
      <c r="E184" s="4" t="n"/>
      <c r="F184" s="4" t="n"/>
      <c r="G184" s="4" t="n"/>
      <c r="H184" s="13">
        <f>IF(OR($F184="",$G184=""),"",$F184*$G184)</f>
        <v/>
      </c>
      <c r="I184" s="13">
        <f>IF($H184="","",IF($H184&gt;=6,"Ação imediata",IF($H184&gt;=4,"Monitoramento","Aceitável")))</f>
        <v/>
      </c>
      <c r="J184" s="4" t="n"/>
      <c r="K184" s="4" t="n"/>
      <c r="L184" s="4" t="n"/>
    </row>
    <row r="185" ht="30" customHeight="1">
      <c r="A185" s="12" t="n"/>
      <c r="B185" s="12" t="n"/>
      <c r="C185" s="12" t="n"/>
      <c r="D185" s="12" t="n"/>
      <c r="E185" s="12" t="n"/>
      <c r="F185" s="12" t="n"/>
      <c r="G185" s="12" t="n"/>
      <c r="H185" s="13">
        <f>IF(OR($F185="",$G185=""),"",$F185*$G185)</f>
        <v/>
      </c>
      <c r="I185" s="13">
        <f>IF($H185="","",IF($H185&gt;=6,"Ação imediata",IF($H185&gt;=4,"Monitoramento","Aceitável")))</f>
        <v/>
      </c>
      <c r="J185" s="12" t="n"/>
      <c r="K185" s="12" t="n"/>
      <c r="L185" s="12" t="n"/>
    </row>
    <row r="186" ht="30" customHeight="1">
      <c r="A186" s="4" t="n"/>
      <c r="B186" s="4" t="n"/>
      <c r="C186" s="4" t="n"/>
      <c r="D186" s="4" t="n"/>
      <c r="E186" s="4" t="n"/>
      <c r="F186" s="4" t="n"/>
      <c r="G186" s="4" t="n"/>
      <c r="H186" s="13">
        <f>IF(OR($F186="",$G186=""),"",$F186*$G186)</f>
        <v/>
      </c>
      <c r="I186" s="13">
        <f>IF($H186="","",IF($H186&gt;=6,"Ação imediata",IF($H186&gt;=4,"Monitoramento","Aceitável")))</f>
        <v/>
      </c>
      <c r="J186" s="4" t="n"/>
      <c r="K186" s="4" t="n"/>
      <c r="L186" s="4" t="n"/>
    </row>
    <row r="187" ht="30" customHeight="1">
      <c r="A187" s="12" t="n"/>
      <c r="B187" s="12" t="n"/>
      <c r="C187" s="12" t="n"/>
      <c r="D187" s="12" t="n"/>
      <c r="E187" s="12" t="n"/>
      <c r="F187" s="12" t="n"/>
      <c r="G187" s="12" t="n"/>
      <c r="H187" s="13">
        <f>IF(OR($F187="",$G187=""),"",$F187*$G187)</f>
        <v/>
      </c>
      <c r="I187" s="13">
        <f>IF($H187="","",IF($H187&gt;=6,"Ação imediata",IF($H187&gt;=4,"Monitoramento","Aceitável")))</f>
        <v/>
      </c>
      <c r="J187" s="12" t="n"/>
      <c r="K187" s="12" t="n"/>
      <c r="L187" s="12" t="n"/>
    </row>
    <row r="188" ht="30" customHeight="1">
      <c r="A188" s="4" t="n"/>
      <c r="B188" s="4" t="n"/>
      <c r="C188" s="4" t="n"/>
      <c r="D188" s="4" t="n"/>
      <c r="E188" s="4" t="n"/>
      <c r="F188" s="4" t="n"/>
      <c r="G188" s="4" t="n"/>
      <c r="H188" s="13">
        <f>IF(OR($F188="",$G188=""),"",$F188*$G188)</f>
        <v/>
      </c>
      <c r="I188" s="13">
        <f>IF($H188="","",IF($H188&gt;=6,"Ação imediata",IF($H188&gt;=4,"Monitoramento","Aceitável")))</f>
        <v/>
      </c>
      <c r="J188" s="4" t="n"/>
      <c r="K188" s="4" t="n"/>
      <c r="L188" s="4" t="n"/>
    </row>
    <row r="189" ht="30" customHeight="1">
      <c r="A189" s="12" t="n"/>
      <c r="B189" s="12" t="n"/>
      <c r="C189" s="12" t="n"/>
      <c r="D189" s="12" t="n"/>
      <c r="E189" s="12" t="n"/>
      <c r="F189" s="12" t="n"/>
      <c r="G189" s="12" t="n"/>
      <c r="H189" s="13">
        <f>IF(OR($F189="",$G189=""),"",$F189*$G189)</f>
        <v/>
      </c>
      <c r="I189" s="13">
        <f>IF($H189="","",IF($H189&gt;=6,"Ação imediata",IF($H189&gt;=4,"Monitoramento","Aceitável")))</f>
        <v/>
      </c>
      <c r="J189" s="12" t="n"/>
      <c r="K189" s="12" t="n"/>
      <c r="L189" s="12" t="n"/>
    </row>
    <row r="190" ht="30" customHeight="1">
      <c r="A190" s="4" t="n"/>
      <c r="B190" s="4" t="n"/>
      <c r="C190" s="4" t="n"/>
      <c r="D190" s="4" t="n"/>
      <c r="E190" s="4" t="n"/>
      <c r="F190" s="4" t="n"/>
      <c r="G190" s="4" t="n"/>
      <c r="H190" s="13">
        <f>IF(OR($F190="",$G190=""),"",$F190*$G190)</f>
        <v/>
      </c>
      <c r="I190" s="13">
        <f>IF($H190="","",IF($H190&gt;=6,"Ação imediata",IF($H190&gt;=4,"Monitoramento","Aceitável")))</f>
        <v/>
      </c>
      <c r="J190" s="4" t="n"/>
      <c r="K190" s="4" t="n"/>
      <c r="L190" s="4" t="n"/>
    </row>
    <row r="191" ht="30" customHeight="1">
      <c r="A191" s="12" t="n"/>
      <c r="B191" s="12" t="n"/>
      <c r="C191" s="12" t="n"/>
      <c r="D191" s="12" t="n"/>
      <c r="E191" s="12" t="n"/>
      <c r="F191" s="12" t="n"/>
      <c r="G191" s="12" t="n"/>
      <c r="H191" s="13">
        <f>IF(OR($F191="",$G191=""),"",$F191*$G191)</f>
        <v/>
      </c>
      <c r="I191" s="13">
        <f>IF($H191="","",IF($H191&gt;=6,"Ação imediata",IF($H191&gt;=4,"Monitoramento","Aceitável")))</f>
        <v/>
      </c>
      <c r="J191" s="12" t="n"/>
      <c r="K191" s="12" t="n"/>
      <c r="L191" s="12" t="n"/>
    </row>
    <row r="192" ht="30" customHeight="1">
      <c r="A192" s="4" t="n"/>
      <c r="B192" s="4" t="n"/>
      <c r="C192" s="4" t="n"/>
      <c r="D192" s="4" t="n"/>
      <c r="E192" s="4" t="n"/>
      <c r="F192" s="4" t="n"/>
      <c r="G192" s="4" t="n"/>
      <c r="H192" s="13">
        <f>IF(OR($F192="",$G192=""),"",$F192*$G192)</f>
        <v/>
      </c>
      <c r="I192" s="13">
        <f>IF($H192="","",IF($H192&gt;=6,"Ação imediata",IF($H192&gt;=4,"Monitoramento","Aceitável")))</f>
        <v/>
      </c>
      <c r="J192" s="4" t="n"/>
      <c r="K192" s="4" t="n"/>
      <c r="L192" s="4" t="n"/>
    </row>
    <row r="193" ht="30" customHeight="1">
      <c r="A193" s="12" t="n"/>
      <c r="B193" s="12" t="n"/>
      <c r="C193" s="12" t="n"/>
      <c r="D193" s="12" t="n"/>
      <c r="E193" s="12" t="n"/>
      <c r="F193" s="12" t="n"/>
      <c r="G193" s="12" t="n"/>
      <c r="H193" s="13">
        <f>IF(OR($F193="",$G193=""),"",$F193*$G193)</f>
        <v/>
      </c>
      <c r="I193" s="13">
        <f>IF($H193="","",IF($H193&gt;=6,"Ação imediata",IF($H193&gt;=4,"Monitoramento","Aceitável")))</f>
        <v/>
      </c>
      <c r="J193" s="12" t="n"/>
      <c r="K193" s="12" t="n"/>
      <c r="L193" s="12" t="n"/>
    </row>
    <row r="194" ht="30" customHeight="1">
      <c r="A194" s="4" t="n"/>
      <c r="B194" s="4" t="n"/>
      <c r="C194" s="4" t="n"/>
      <c r="D194" s="4" t="n"/>
      <c r="E194" s="4" t="n"/>
      <c r="F194" s="4" t="n"/>
      <c r="G194" s="4" t="n"/>
      <c r="H194" s="13">
        <f>IF(OR($F194="",$G194=""),"",$F194*$G194)</f>
        <v/>
      </c>
      <c r="I194" s="13">
        <f>IF($H194="","",IF($H194&gt;=6,"Ação imediata",IF($H194&gt;=4,"Monitoramento","Aceitável")))</f>
        <v/>
      </c>
      <c r="J194" s="4" t="n"/>
      <c r="K194" s="4" t="n"/>
      <c r="L194" s="4" t="n"/>
    </row>
    <row r="195" ht="30" customHeight="1">
      <c r="A195" s="12" t="n"/>
      <c r="B195" s="12" t="n"/>
      <c r="C195" s="12" t="n"/>
      <c r="D195" s="12" t="n"/>
      <c r="E195" s="12" t="n"/>
      <c r="F195" s="12" t="n"/>
      <c r="G195" s="12" t="n"/>
      <c r="H195" s="13">
        <f>IF(OR($F195="",$G195=""),"",$F195*$G195)</f>
        <v/>
      </c>
      <c r="I195" s="13">
        <f>IF($H195="","",IF($H195&gt;=6,"Ação imediata",IF($H195&gt;=4,"Monitoramento","Aceitável")))</f>
        <v/>
      </c>
      <c r="J195" s="12" t="n"/>
      <c r="K195" s="12" t="n"/>
      <c r="L195" s="12" t="n"/>
    </row>
    <row r="196" ht="30" customHeight="1">
      <c r="A196" s="4" t="n"/>
      <c r="B196" s="4" t="n"/>
      <c r="C196" s="4" t="n"/>
      <c r="D196" s="4" t="n"/>
      <c r="E196" s="4" t="n"/>
      <c r="F196" s="4" t="n"/>
      <c r="G196" s="4" t="n"/>
      <c r="H196" s="13">
        <f>IF(OR($F196="",$G196=""),"",$F196*$G196)</f>
        <v/>
      </c>
      <c r="I196" s="13">
        <f>IF($H196="","",IF($H196&gt;=6,"Ação imediata",IF($H196&gt;=4,"Monitoramento","Aceitável")))</f>
        <v/>
      </c>
      <c r="J196" s="4" t="n"/>
      <c r="K196" s="4" t="n"/>
      <c r="L196" s="4" t="n"/>
    </row>
    <row r="197" ht="30" customHeight="1">
      <c r="A197" s="12" t="n"/>
      <c r="B197" s="12" t="n"/>
      <c r="C197" s="12" t="n"/>
      <c r="D197" s="12" t="n"/>
      <c r="E197" s="12" t="n"/>
      <c r="F197" s="12" t="n"/>
      <c r="G197" s="12" t="n"/>
      <c r="H197" s="13">
        <f>IF(OR($F197="",$G197=""),"",$F197*$G197)</f>
        <v/>
      </c>
      <c r="I197" s="13">
        <f>IF($H197="","",IF($H197&gt;=6,"Ação imediata",IF($H197&gt;=4,"Monitoramento","Aceitável")))</f>
        <v/>
      </c>
      <c r="J197" s="12" t="n"/>
      <c r="K197" s="12" t="n"/>
      <c r="L197" s="12" t="n"/>
    </row>
    <row r="198" ht="30" customHeight="1">
      <c r="A198" s="4" t="n"/>
      <c r="B198" s="4" t="n"/>
      <c r="C198" s="4" t="n"/>
      <c r="D198" s="4" t="n"/>
      <c r="E198" s="4" t="n"/>
      <c r="F198" s="4" t="n"/>
      <c r="G198" s="4" t="n"/>
      <c r="H198" s="13">
        <f>IF(OR($F198="",$G198=""),"",$F198*$G198)</f>
        <v/>
      </c>
      <c r="I198" s="13">
        <f>IF($H198="","",IF($H198&gt;=6,"Ação imediata",IF($H198&gt;=4,"Monitoramento","Aceitável")))</f>
        <v/>
      </c>
      <c r="J198" s="4" t="n"/>
      <c r="K198" s="4" t="n"/>
      <c r="L198" s="4" t="n"/>
    </row>
    <row r="199" ht="30" customHeight="1">
      <c r="A199" s="12" t="n"/>
      <c r="B199" s="12" t="n"/>
      <c r="C199" s="12" t="n"/>
      <c r="D199" s="12" t="n"/>
      <c r="E199" s="12" t="n"/>
      <c r="F199" s="12" t="n"/>
      <c r="G199" s="12" t="n"/>
      <c r="H199" s="13">
        <f>IF(OR($F199="",$G199=""),"",$F199*$G199)</f>
        <v/>
      </c>
      <c r="I199" s="13">
        <f>IF($H199="","",IF($H199&gt;=6,"Ação imediata",IF($H199&gt;=4,"Monitoramento","Aceitável")))</f>
        <v/>
      </c>
      <c r="J199" s="12" t="n"/>
      <c r="K199" s="12" t="n"/>
      <c r="L199" s="12" t="n"/>
    </row>
    <row r="200" ht="30" customHeight="1">
      <c r="A200" s="4" t="n"/>
      <c r="B200" s="4" t="n"/>
      <c r="C200" s="4" t="n"/>
      <c r="D200" s="4" t="n"/>
      <c r="E200" s="4" t="n"/>
      <c r="F200" s="4" t="n"/>
      <c r="G200" s="4" t="n"/>
      <c r="H200" s="13">
        <f>IF(OR($F200="",$G200=""),"",$F200*$G200)</f>
        <v/>
      </c>
      <c r="I200" s="13">
        <f>IF($H200="","",IF($H200&gt;=6,"Ação imediata",IF($H200&gt;=4,"Monitoramento","Aceitável")))</f>
        <v/>
      </c>
      <c r="J200" s="4" t="n"/>
      <c r="K200" s="4" t="n"/>
      <c r="L200" s="4" t="n"/>
    </row>
    <row r="201" ht="30" customHeight="1">
      <c r="A201" s="12" t="n"/>
      <c r="B201" s="12" t="n"/>
      <c r="C201" s="12" t="n"/>
      <c r="D201" s="12" t="n"/>
      <c r="E201" s="12" t="n"/>
      <c r="F201" s="12" t="n"/>
      <c r="G201" s="12" t="n"/>
      <c r="H201" s="13">
        <f>IF(OR($F201="",$G201=""),"",$F201*$G201)</f>
        <v/>
      </c>
      <c r="I201" s="13">
        <f>IF($H201="","",IF($H201&gt;=6,"Ação imediata",IF($H201&gt;=4,"Monitoramento","Aceitável")))</f>
        <v/>
      </c>
      <c r="J201" s="12" t="n"/>
      <c r="K201" s="12" t="n"/>
      <c r="L201" s="12" t="n"/>
    </row>
    <row r="202" ht="30" customHeight="1">
      <c r="A202" s="4" t="n"/>
      <c r="B202" s="4" t="n"/>
      <c r="C202" s="4" t="n"/>
      <c r="D202" s="4" t="n"/>
      <c r="E202" s="4" t="n"/>
      <c r="F202" s="4" t="n"/>
      <c r="G202" s="4" t="n"/>
      <c r="H202" s="13">
        <f>IF(OR($F202="",$G202=""),"",$F202*$G202)</f>
        <v/>
      </c>
      <c r="I202" s="13">
        <f>IF($H202="","",IF($H202&gt;=6,"Ação imediata",IF($H202&gt;=4,"Monitoramento","Aceitável")))</f>
        <v/>
      </c>
      <c r="J202" s="4" t="n"/>
      <c r="K202" s="4" t="n"/>
      <c r="L202" s="4" t="n"/>
    </row>
    <row r="203" ht="30" customHeight="1">
      <c r="A203" s="12" t="n"/>
      <c r="B203" s="12" t="n"/>
      <c r="C203" s="12" t="n"/>
      <c r="D203" s="12" t="n"/>
      <c r="E203" s="12" t="n"/>
      <c r="F203" s="12" t="n"/>
      <c r="G203" s="12" t="n"/>
      <c r="H203" s="13">
        <f>IF(OR($F203="",$G203=""),"",$F203*$G203)</f>
        <v/>
      </c>
      <c r="I203" s="13">
        <f>IF($H203="","",IF($H203&gt;=6,"Ação imediata",IF($H203&gt;=4,"Monitoramento","Aceitável")))</f>
        <v/>
      </c>
      <c r="J203" s="12" t="n"/>
      <c r="K203" s="12" t="n"/>
      <c r="L203" s="12" t="n"/>
    </row>
    <row r="204" ht="30" customHeight="1">
      <c r="A204" s="4" t="n"/>
      <c r="B204" s="4" t="n"/>
      <c r="C204" s="4" t="n"/>
      <c r="D204" s="4" t="n"/>
      <c r="E204" s="4" t="n"/>
      <c r="F204" s="4" t="n"/>
      <c r="G204" s="4" t="n"/>
      <c r="H204" s="13">
        <f>IF(OR($F204="",$G204=""),"",$F204*$G204)</f>
        <v/>
      </c>
      <c r="I204" s="13">
        <f>IF($H204="","",IF($H204&gt;=6,"Ação imediata",IF($H204&gt;=4,"Monitoramento","Aceitável")))</f>
        <v/>
      </c>
      <c r="J204" s="4" t="n"/>
      <c r="K204" s="4" t="n"/>
      <c r="L204" s="4" t="n"/>
    </row>
    <row r="205" ht="30" customHeight="1">
      <c r="A205" s="12" t="n"/>
      <c r="B205" s="12" t="n"/>
      <c r="C205" s="12" t="n"/>
      <c r="D205" s="12" t="n"/>
      <c r="E205" s="12" t="n"/>
      <c r="F205" s="12" t="n"/>
      <c r="G205" s="12" t="n"/>
      <c r="H205" s="13">
        <f>IF(OR($F205="",$G205=""),"",$F205*$G205)</f>
        <v/>
      </c>
      <c r="I205" s="13">
        <f>IF($H205="","",IF($H205&gt;=6,"Ação imediata",IF($H205&gt;=4,"Monitoramento","Aceitável")))</f>
        <v/>
      </c>
      <c r="J205" s="12" t="n"/>
      <c r="K205" s="12" t="n"/>
      <c r="L205" s="12" t="n"/>
    </row>
    <row r="206" ht="30" customHeight="1">
      <c r="A206" s="4" t="n"/>
      <c r="B206" s="4" t="n"/>
      <c r="C206" s="4" t="n"/>
      <c r="D206" s="4" t="n"/>
      <c r="E206" s="4" t="n"/>
      <c r="F206" s="4" t="n"/>
      <c r="G206" s="4" t="n"/>
      <c r="H206" s="13">
        <f>IF(OR($F206="",$G206=""),"",$F206*$G206)</f>
        <v/>
      </c>
      <c r="I206" s="13">
        <f>IF($H206="","",IF($H206&gt;=6,"Ação imediata",IF($H206&gt;=4,"Monitoramento","Aceitável")))</f>
        <v/>
      </c>
      <c r="J206" s="4" t="n"/>
      <c r="K206" s="4" t="n"/>
      <c r="L206" s="4" t="n"/>
    </row>
    <row r="207" ht="30" customHeight="1">
      <c r="A207" s="12" t="n"/>
      <c r="B207" s="12" t="n"/>
      <c r="C207" s="12" t="n"/>
      <c r="D207" s="12" t="n"/>
      <c r="E207" s="12" t="n"/>
      <c r="F207" s="12" t="n"/>
      <c r="G207" s="12" t="n"/>
      <c r="H207" s="13">
        <f>IF(OR($F207="",$G207=""),"",$F207*$G207)</f>
        <v/>
      </c>
      <c r="I207" s="13">
        <f>IF($H207="","",IF($H207&gt;=6,"Ação imediata",IF($H207&gt;=4,"Monitoramento","Aceitável")))</f>
        <v/>
      </c>
      <c r="J207" s="12" t="n"/>
      <c r="K207" s="12" t="n"/>
      <c r="L207" s="12" t="n"/>
    </row>
  </sheetData>
  <mergeCells count="4">
    <mergeCell ref="A3:L3"/>
    <mergeCell ref="A2:L2"/>
    <mergeCell ref="A1:L1"/>
    <mergeCell ref="A5:L5"/>
  </mergeCells>
  <dataValidations count="5">
    <dataValidation sqref="A8:A207" showDropDown="0" showInputMessage="0" showErrorMessage="0" allowBlank="1" type="list">
      <formula1>=Listas!$L$5:$L$15</formula1>
    </dataValidation>
    <dataValidation sqref="E8:E207" showDropDown="0" showInputMessage="0" showErrorMessage="0" allowBlank="1" type="list">
      <formula1>=Listas!$I$5:$I$9</formula1>
    </dataValidation>
    <dataValidation sqref="F8:F207" showDropDown="0" showInputMessage="0" showErrorMessage="0" allowBlank="1" type="list">
      <formula1>=Listas!$J$5:$J$7</formula1>
    </dataValidation>
    <dataValidation sqref="G8:G207" showDropDown="0" showInputMessage="0" showErrorMessage="0" allowBlank="1" type="list">
      <formula1>=Listas!$J$5:$J$7</formula1>
    </dataValidation>
    <dataValidation sqref="K8:K207" showDropDown="0" showInputMessage="0" showErrorMessage="0" allowBlank="1" type="list">
      <formula1>=Listas!$K$5:$K$7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14" customWidth="1" min="4" max="4"/>
    <col width="10" customWidth="1" min="5" max="5"/>
    <col width="12" customWidth="1" min="6" max="6"/>
    <col width="10" customWidth="1" min="7" max="7"/>
    <col width="10" customWidth="1" min="8" max="8"/>
    <col width="12" customWidth="1" min="9" max="9"/>
    <col width="18" customWidth="1" min="10" max="10"/>
  </cols>
  <sheetData>
    <row r="1">
      <c r="A1" s="7" t="inlineStr">
        <is>
          <t>Consolidado do Levantamento</t>
        </is>
      </c>
    </row>
    <row r="2">
      <c r="A2" s="2" t="inlineStr">
        <is>
          <t>VAN-FOR-SGQ-001  |  Versão 1.0  |  Emissão 11/09/2026  |  SGQ Vanguarda (VAN-QUAL-001)  |  CONFIDENCIAL</t>
        </is>
      </c>
    </row>
    <row r="3">
      <c r="A3" s="2" t="inlineStr">
        <is>
          <t>Atualiza sozinho conforme os setores preenchem. 'Pronto para POP' exige ao menos 1 processo, 3 etapas, 5 KPIs e 5 riscos — os mínimos do SGQ.</t>
        </is>
      </c>
    </row>
    <row r="5" ht="30" customHeight="1">
      <c r="A5" s="8" t="inlineStr">
        <is>
          <t>ESTA ABA É TODA CALCULADA. Não digite nada aqui — os números vêm das abas dos setores.</t>
        </is>
      </c>
    </row>
    <row r="6">
      <c r="D6" s="9" t="inlineStr">
        <is>
          <t>calculado</t>
        </is>
      </c>
      <c r="E6" s="9" t="inlineStr">
        <is>
          <t>calculado</t>
        </is>
      </c>
      <c r="F6" s="9" t="inlineStr">
        <is>
          <t>calculado</t>
        </is>
      </c>
      <c r="G6" s="9" t="inlineStr">
        <is>
          <t>calculado</t>
        </is>
      </c>
      <c r="H6" s="9" t="inlineStr">
        <is>
          <t>calculado</t>
        </is>
      </c>
      <c r="I6" s="9" t="inlineStr">
        <is>
          <t>calculado</t>
        </is>
      </c>
      <c r="J6" s="9" t="inlineStr">
        <is>
          <t>calculado</t>
        </is>
      </c>
    </row>
    <row r="7" ht="42" customHeight="1">
      <c r="A7" s="10" t="inlineStr">
        <is>
          <t>Setor</t>
        </is>
      </c>
      <c r="B7" s="10" t="inlineStr">
        <is>
          <t>Aba</t>
        </is>
      </c>
      <c r="C7" s="10" t="inlineStr">
        <is>
          <t>Código de área</t>
        </is>
      </c>
      <c r="D7" s="10" t="inlineStr">
        <is>
          <t>Processos mapeados</t>
        </is>
      </c>
      <c r="E7" s="10" t="inlineStr">
        <is>
          <t>Etapas</t>
        </is>
      </c>
      <c r="F7" s="10" t="inlineStr">
        <is>
          <t>Linhas RACI</t>
        </is>
      </c>
      <c r="G7" s="10" t="inlineStr">
        <is>
          <t>KPIs</t>
        </is>
      </c>
      <c r="H7" s="10" t="inlineStr">
        <is>
          <t>Riscos</t>
        </is>
      </c>
      <c r="I7" s="10" t="inlineStr">
        <is>
          <t>Riscos NR ≥ 6</t>
        </is>
      </c>
      <c r="J7" s="10" t="inlineStr">
        <is>
          <t>Pronto para POP?</t>
        </is>
      </c>
    </row>
    <row r="8" ht="30" customHeight="1">
      <c r="A8" s="14" t="inlineStr">
        <is>
          <t>Mídia Paga</t>
        </is>
      </c>
      <c r="B8" s="15" t="inlineStr">
        <is>
          <t>Mídia Paga</t>
        </is>
      </c>
      <c r="C8" s="15" t="inlineStr">
        <is>
          <t>MKT</t>
        </is>
      </c>
      <c r="D8" s="13">
        <f>COUNTIF('Mídia Paga'!$B$9:$B$67,"?*")</f>
        <v/>
      </c>
      <c r="E8" s="13">
        <f>COUNTIFS(Etapas!$A$9:$A$207,$A8)</f>
        <v/>
      </c>
      <c r="F8" s="13">
        <f>COUNTIFS(RACI!$A$9:$A$207,$A8)</f>
        <v/>
      </c>
      <c r="G8" s="13">
        <f>COUNTIFS(KPIs!$A$9:$A$207,$A8)</f>
        <v/>
      </c>
      <c r="H8" s="13">
        <f>COUNTIFS(Riscos!$A$9:$A$207,$A8)</f>
        <v/>
      </c>
      <c r="I8" s="13">
        <f>COUNTIFS(Riscos!$A$9:$A$207,$A8,Riscos!$H$9:$H$207,"&gt;=6")</f>
        <v/>
      </c>
      <c r="J8" s="13">
        <f>IF(AND($D8&gt;=1,$E8&gt;=3,$G8&gt;=5,$H8&gt;=5),"Sim","Faltam itens")</f>
        <v/>
      </c>
    </row>
    <row r="9" ht="30" customHeight="1">
      <c r="A9" s="14" t="inlineStr">
        <is>
          <t>Inbound</t>
        </is>
      </c>
      <c r="B9" s="15" t="inlineStr">
        <is>
          <t>Inbound</t>
        </is>
      </c>
      <c r="C9" s="15" t="inlineStr">
        <is>
          <t>MKT</t>
        </is>
      </c>
      <c r="D9" s="13">
        <f>COUNTIF('Inbound'!$B$9:$B$67,"?*")</f>
        <v/>
      </c>
      <c r="E9" s="13">
        <f>COUNTIFS(Etapas!$A$9:$A$207,$A9)</f>
        <v/>
      </c>
      <c r="F9" s="13">
        <f>COUNTIFS(RACI!$A$9:$A$207,$A9)</f>
        <v/>
      </c>
      <c r="G9" s="13">
        <f>COUNTIFS(KPIs!$A$9:$A$207,$A9)</f>
        <v/>
      </c>
      <c r="H9" s="13">
        <f>COUNTIFS(Riscos!$A$9:$A$207,$A9)</f>
        <v/>
      </c>
      <c r="I9" s="13">
        <f>COUNTIFS(Riscos!$A$9:$A$207,$A9,Riscos!$H$9:$H$207,"&gt;=6")</f>
        <v/>
      </c>
      <c r="J9" s="13">
        <f>IF(AND($D9&gt;=1,$E9&gt;=3,$G9&gt;=5,$H9&gt;=5),"Sim","Faltam itens")</f>
        <v/>
      </c>
    </row>
    <row r="10" ht="30" customHeight="1">
      <c r="A10" s="14" t="inlineStr">
        <is>
          <t>Account (Atendimento)</t>
        </is>
      </c>
      <c r="B10" s="15" t="inlineStr">
        <is>
          <t>Account</t>
        </is>
      </c>
      <c r="C10" s="15" t="inlineStr">
        <is>
          <t>COM</t>
        </is>
      </c>
      <c r="D10" s="13">
        <f>COUNTIF('Account'!$B$9:$B$67,"?*")</f>
        <v/>
      </c>
      <c r="E10" s="13">
        <f>COUNTIFS(Etapas!$A$9:$A$207,$A10)</f>
        <v/>
      </c>
      <c r="F10" s="13">
        <f>COUNTIFS(RACI!$A$9:$A$207,$A10)</f>
        <v/>
      </c>
      <c r="G10" s="13">
        <f>COUNTIFS(KPIs!$A$9:$A$207,$A10)</f>
        <v/>
      </c>
      <c r="H10" s="13">
        <f>COUNTIFS(Riscos!$A$9:$A$207,$A10)</f>
        <v/>
      </c>
      <c r="I10" s="13">
        <f>COUNTIFS(Riscos!$A$9:$A$207,$A10,Riscos!$H$9:$H$207,"&gt;=6")</f>
        <v/>
      </c>
      <c r="J10" s="13">
        <f>IF(AND($D10&gt;=1,$E10&gt;=3,$G10&gt;=5,$H10&gt;=5),"Sim","Faltam itens")</f>
        <v/>
      </c>
    </row>
    <row r="11" ht="30" customHeight="1">
      <c r="A11" s="14" t="inlineStr">
        <is>
          <t>Criação</t>
        </is>
      </c>
      <c r="B11" s="15" t="inlineStr">
        <is>
          <t>Criação</t>
        </is>
      </c>
      <c r="C11" s="15" t="inlineStr">
        <is>
          <t>MKT</t>
        </is>
      </c>
      <c r="D11" s="13">
        <f>COUNTIF('Criação'!$B$9:$B$67,"?*")</f>
        <v/>
      </c>
      <c r="E11" s="13">
        <f>COUNTIFS(Etapas!$A$9:$A$207,$A11)</f>
        <v/>
      </c>
      <c r="F11" s="13">
        <f>COUNTIFS(RACI!$A$9:$A$207,$A11)</f>
        <v/>
      </c>
      <c r="G11" s="13">
        <f>COUNTIFS(KPIs!$A$9:$A$207,$A11)</f>
        <v/>
      </c>
      <c r="H11" s="13">
        <f>COUNTIFS(Riscos!$A$9:$A$207,$A11)</f>
        <v/>
      </c>
      <c r="I11" s="13">
        <f>COUNTIFS(Riscos!$A$9:$A$207,$A11,Riscos!$H$9:$H$207,"&gt;=6")</f>
        <v/>
      </c>
      <c r="J11" s="13">
        <f>IF(AND($D11&gt;=1,$E11&gt;=3,$G11&gt;=5,$H11&gt;=5),"Sim","Faltam itens")</f>
        <v/>
      </c>
    </row>
    <row r="12" ht="30" customHeight="1">
      <c r="A12" s="14" t="inlineStr">
        <is>
          <t>Direção de Arte</t>
        </is>
      </c>
      <c r="B12" s="15" t="inlineStr">
        <is>
          <t>Direção de Arte</t>
        </is>
      </c>
      <c r="C12" s="15" t="inlineStr">
        <is>
          <t>MKT</t>
        </is>
      </c>
      <c r="D12" s="13">
        <f>COUNTIF('Direção de Arte'!$B$9:$B$67,"?*")</f>
        <v/>
      </c>
      <c r="E12" s="13">
        <f>COUNTIFS(Etapas!$A$9:$A$207,$A12)</f>
        <v/>
      </c>
      <c r="F12" s="13">
        <f>COUNTIFS(RACI!$A$9:$A$207,$A12)</f>
        <v/>
      </c>
      <c r="G12" s="13">
        <f>COUNTIFS(KPIs!$A$9:$A$207,$A12)</f>
        <v/>
      </c>
      <c r="H12" s="13">
        <f>COUNTIFS(Riscos!$A$9:$A$207,$A12)</f>
        <v/>
      </c>
      <c r="I12" s="13">
        <f>COUNTIFS(Riscos!$A$9:$A$207,$A12,Riscos!$H$9:$H$207,"&gt;=6")</f>
        <v/>
      </c>
      <c r="J12" s="13">
        <f>IF(AND($D12&gt;=1,$E12&gt;=3,$G12&gt;=5,$H12&gt;=5),"Sim","Faltam itens")</f>
        <v/>
      </c>
    </row>
    <row r="13" ht="30" customHeight="1">
      <c r="A13" s="14" t="inlineStr">
        <is>
          <t>Diretoria de Operações</t>
        </is>
      </c>
      <c r="B13" s="15" t="inlineStr">
        <is>
          <t>Dir. Operações</t>
        </is>
      </c>
      <c r="C13" s="15" t="inlineStr">
        <is>
          <t>OPS</t>
        </is>
      </c>
      <c r="D13" s="13">
        <f>COUNTIF('Dir. Operações'!$B$9:$B$67,"?*")</f>
        <v/>
      </c>
      <c r="E13" s="13">
        <f>COUNTIFS(Etapas!$A$9:$A$207,$A13)</f>
        <v/>
      </c>
      <c r="F13" s="13">
        <f>COUNTIFS(RACI!$A$9:$A$207,$A13)</f>
        <v/>
      </c>
      <c r="G13" s="13">
        <f>COUNTIFS(KPIs!$A$9:$A$207,$A13)</f>
        <v/>
      </c>
      <c r="H13" s="13">
        <f>COUNTIFS(Riscos!$A$9:$A$207,$A13)</f>
        <v/>
      </c>
      <c r="I13" s="13">
        <f>COUNTIFS(Riscos!$A$9:$A$207,$A13,Riscos!$H$9:$H$207,"&gt;=6")</f>
        <v/>
      </c>
      <c r="J13" s="13">
        <f>IF(AND($D13&gt;=1,$E13&gt;=3,$G13&gt;=5,$H13&gt;=5),"Sim","Faltam itens")</f>
        <v/>
      </c>
    </row>
    <row r="14" ht="30" customHeight="1">
      <c r="A14" s="14" t="inlineStr">
        <is>
          <t>Recursos Humanos</t>
        </is>
      </c>
      <c r="B14" s="15" t="inlineStr">
        <is>
          <t>RH</t>
        </is>
      </c>
      <c r="C14" s="15" t="inlineStr">
        <is>
          <t>RH</t>
        </is>
      </c>
      <c r="D14" s="13">
        <f>COUNTIF('RH'!$B$9:$B$67,"?*")</f>
        <v/>
      </c>
      <c r="E14" s="13">
        <f>COUNTIFS(Etapas!$A$9:$A$207,$A14)</f>
        <v/>
      </c>
      <c r="F14" s="13">
        <f>COUNTIFS(RACI!$A$9:$A$207,$A14)</f>
        <v/>
      </c>
      <c r="G14" s="13">
        <f>COUNTIFS(KPIs!$A$9:$A$207,$A14)</f>
        <v/>
      </c>
      <c r="H14" s="13">
        <f>COUNTIFS(Riscos!$A$9:$A$207,$A14)</f>
        <v/>
      </c>
      <c r="I14" s="13">
        <f>COUNTIFS(Riscos!$A$9:$A$207,$A14,Riscos!$H$9:$H$207,"&gt;=6")</f>
        <v/>
      </c>
      <c r="J14" s="13">
        <f>IF(AND($D14&gt;=1,$E14&gt;=3,$G14&gt;=5,$H14&gt;=5),"Sim","Faltam itens")</f>
        <v/>
      </c>
    </row>
    <row r="15" ht="30" customHeight="1">
      <c r="A15" s="14" t="inlineStr">
        <is>
          <t>Diretoria Executiva</t>
        </is>
      </c>
      <c r="B15" s="15" t="inlineStr">
        <is>
          <t>Dir. Executiva</t>
        </is>
      </c>
      <c r="C15" s="15" t="inlineStr">
        <is>
          <t>GOV*</t>
        </is>
      </c>
      <c r="D15" s="13">
        <f>COUNTIF('Dir. Executiva'!$B$9:$B$67,"?*")</f>
        <v/>
      </c>
      <c r="E15" s="13">
        <f>COUNTIFS(Etapas!$A$9:$A$207,$A15)</f>
        <v/>
      </c>
      <c r="F15" s="13">
        <f>COUNTIFS(RACI!$A$9:$A$207,$A15)</f>
        <v/>
      </c>
      <c r="G15" s="13">
        <f>COUNTIFS(KPIs!$A$9:$A$207,$A15)</f>
        <v/>
      </c>
      <c r="H15" s="13">
        <f>COUNTIFS(Riscos!$A$9:$A$207,$A15)</f>
        <v/>
      </c>
      <c r="I15" s="13">
        <f>COUNTIFS(Riscos!$A$9:$A$207,$A15,Riscos!$H$9:$H$207,"&gt;=6")</f>
        <v/>
      </c>
      <c r="J15" s="13">
        <f>IF(AND($D15&gt;=1,$E15&gt;=3,$G15&gt;=5,$H15&gt;=5),"Sim","Faltam itens")</f>
        <v/>
      </c>
    </row>
    <row r="16" ht="30" customHeight="1">
      <c r="A16" s="14" t="inlineStr">
        <is>
          <t>Social Media</t>
        </is>
      </c>
      <c r="B16" s="15" t="inlineStr">
        <is>
          <t>Social Media</t>
        </is>
      </c>
      <c r="C16" s="15" t="inlineStr">
        <is>
          <t>MKT</t>
        </is>
      </c>
      <c r="D16" s="13">
        <f>COUNTIF('Social Media'!$B$9:$B$67,"?*")</f>
        <v/>
      </c>
      <c r="E16" s="13">
        <f>COUNTIFS(Etapas!$A$9:$A$207,$A16)</f>
        <v/>
      </c>
      <c r="F16" s="13">
        <f>COUNTIFS(RACI!$A$9:$A$207,$A16)</f>
        <v/>
      </c>
      <c r="G16" s="13">
        <f>COUNTIFS(KPIs!$A$9:$A$207,$A16)</f>
        <v/>
      </c>
      <c r="H16" s="13">
        <f>COUNTIFS(Riscos!$A$9:$A$207,$A16)</f>
        <v/>
      </c>
      <c r="I16" s="13">
        <f>COUNTIFS(Riscos!$A$9:$A$207,$A16,Riscos!$H$9:$H$207,"&gt;=6")</f>
        <v/>
      </c>
      <c r="J16" s="13">
        <f>IF(AND($D16&gt;=1,$E16&gt;=3,$G16&gt;=5,$H16&gt;=5),"Sim","Faltam itens")</f>
        <v/>
      </c>
    </row>
    <row r="17" ht="30" customHeight="1">
      <c r="A17" s="14" t="inlineStr">
        <is>
          <t>Financeiro / Controladoria</t>
        </is>
      </c>
      <c r="B17" s="15" t="inlineStr">
        <is>
          <t>Financeiro</t>
        </is>
      </c>
      <c r="C17" s="15" t="inlineStr">
        <is>
          <t>FIN</t>
        </is>
      </c>
      <c r="D17" s="13">
        <f>COUNTIF('Financeiro'!$B$9:$B$67,"?*")</f>
        <v/>
      </c>
      <c r="E17" s="13">
        <f>COUNTIFS(Etapas!$A$9:$A$207,$A17)</f>
        <v/>
      </c>
      <c r="F17" s="13">
        <f>COUNTIFS(RACI!$A$9:$A$207,$A17)</f>
        <v/>
      </c>
      <c r="G17" s="13">
        <f>COUNTIFS(KPIs!$A$9:$A$207,$A17)</f>
        <v/>
      </c>
      <c r="H17" s="13">
        <f>COUNTIFS(Riscos!$A$9:$A$207,$A17)</f>
        <v/>
      </c>
      <c r="I17" s="13">
        <f>COUNTIFS(Riscos!$A$9:$A$207,$A17,Riscos!$H$9:$H$207,"&gt;=6")</f>
        <v/>
      </c>
      <c r="J17" s="13">
        <f>IF(AND($D17&gt;=1,$E17&gt;=3,$G17&gt;=5,$H17&gt;=5),"Sim","Faltam itens")</f>
        <v/>
      </c>
    </row>
    <row r="18" ht="30" customHeight="1">
      <c r="A18" s="14" t="inlineStr">
        <is>
          <t>Planejamento, Estratégia e Inovação</t>
        </is>
      </c>
      <c r="B18" s="15" t="inlineStr">
        <is>
          <t>Planej. Estrat. e Inovação</t>
        </is>
      </c>
      <c r="C18" s="15" t="inlineStr">
        <is>
          <t>EST*</t>
        </is>
      </c>
      <c r="D18" s="13">
        <f>COUNTIF('Planej. Estrat. e Inovação'!$B$9:$B$67,"?*")</f>
        <v/>
      </c>
      <c r="E18" s="13">
        <f>COUNTIFS(Etapas!$A$9:$A$207,$A18)</f>
        <v/>
      </c>
      <c r="F18" s="13">
        <f>COUNTIFS(RACI!$A$9:$A$207,$A18)</f>
        <v/>
      </c>
      <c r="G18" s="13">
        <f>COUNTIFS(KPIs!$A$9:$A$207,$A18)</f>
        <v/>
      </c>
      <c r="H18" s="13">
        <f>COUNTIFS(Riscos!$A$9:$A$207,$A18)</f>
        <v/>
      </c>
      <c r="I18" s="13">
        <f>COUNTIFS(Riscos!$A$9:$A$207,$A18,Riscos!$H$9:$H$207,"&gt;=6")</f>
        <v/>
      </c>
      <c r="J18" s="13">
        <f>IF(AND($D18&gt;=1,$E18&gt;=3,$G18&gt;=5,$H18&gt;=5),"Sim","Faltam itens")</f>
        <v/>
      </c>
    </row>
    <row r="19" ht="30" customHeight="1">
      <c r="A19" s="16" t="inlineStr">
        <is>
          <t>TOTAL</t>
        </is>
      </c>
      <c r="B19" s="12" t="n"/>
      <c r="C19" s="12" t="n"/>
      <c r="D19" s="17">
        <f>SUM(D8:D18)</f>
        <v/>
      </c>
      <c r="E19" s="17">
        <f>SUM(E8:E18)</f>
        <v/>
      </c>
      <c r="F19" s="17">
        <f>SUM(F8:F18)</f>
        <v/>
      </c>
      <c r="G19" s="17">
        <f>SUM(G8:G18)</f>
        <v/>
      </c>
      <c r="H19" s="17">
        <f>SUM(H8:H18)</f>
        <v/>
      </c>
      <c r="I19" s="17">
        <f>SUM(I8:I18)</f>
        <v/>
      </c>
      <c r="J19" s="17">
        <f>COUNTIF($J$8:$J18,"Sim")&amp;" de 11 setores"</f>
        <v/>
      </c>
    </row>
  </sheetData>
  <mergeCells count="4">
    <mergeCell ref="A1:J1"/>
    <mergeCell ref="A5:J5"/>
    <mergeCell ref="A3:J3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</cols>
  <sheetData>
    <row r="1">
      <c r="A1" s="7" t="inlineStr">
        <is>
          <t>Listas de validação — VAN-FOR-SGQ-001</t>
        </is>
      </c>
    </row>
    <row r="2">
      <c r="A2" s="2" t="inlineStr">
        <is>
          <t>Não editar sem avisar a Gestão da Qualidade: estas colunas alimentam os menus suspensos de todas as abas.</t>
        </is>
      </c>
    </row>
    <row r="4">
      <c r="A4" s="18" t="inlineStr">
        <is>
          <t>Entidades</t>
        </is>
      </c>
      <c r="B4" s="18" t="inlineStr">
        <is>
          <t>Frequencia</t>
        </is>
      </c>
      <c r="C4" s="18" t="inlineStr">
        <is>
          <t>Retencao</t>
        </is>
      </c>
      <c r="D4" s="18" t="inlineStr">
        <is>
          <t>SimNao</t>
        </is>
      </c>
      <c r="E4" s="18" t="inlineStr">
        <is>
          <t>Prioridade</t>
        </is>
      </c>
      <c r="F4" s="18" t="inlineStr">
        <is>
          <t>Status</t>
        </is>
      </c>
      <c r="G4" s="18" t="inlineStr">
        <is>
          <t>SLA</t>
        </is>
      </c>
      <c r="H4" s="18" t="inlineStr">
        <is>
          <t>RACI</t>
        </is>
      </c>
      <c r="I4" s="18" t="inlineStr">
        <is>
          <t>COSO</t>
        </is>
      </c>
      <c r="J4" s="18" t="inlineStr">
        <is>
          <t>Escala13</t>
        </is>
      </c>
      <c r="K4" s="18" t="inlineStr">
        <is>
          <t>Eficacia</t>
        </is>
      </c>
      <c r="L4" s="18" t="inlineStr">
        <is>
          <t>Setores</t>
        </is>
      </c>
    </row>
    <row r="5">
      <c r="A5" s="19" t="inlineStr">
        <is>
          <t>Vanguarda Martech</t>
        </is>
      </c>
      <c r="B5" s="19" t="inlineStr">
        <is>
          <t>Sob demanda</t>
        </is>
      </c>
      <c r="C5" s="19" t="inlineStr">
        <is>
          <t>2 anos</t>
        </is>
      </c>
      <c r="D5" s="19" t="inlineStr">
        <is>
          <t>Sim</t>
        </is>
      </c>
      <c r="E5" s="19" t="inlineStr">
        <is>
          <t>Alta</t>
        </is>
      </c>
      <c r="F5" s="19" t="inlineStr">
        <is>
          <t>Não iniciado</t>
        </is>
      </c>
      <c r="G5" s="19" t="inlineStr">
        <is>
          <t>Imediato</t>
        </is>
      </c>
      <c r="H5" s="19" t="inlineStr">
        <is>
          <t>R</t>
        </is>
      </c>
      <c r="I5" s="19" t="inlineStr">
        <is>
          <t>Estratégico</t>
        </is>
      </c>
      <c r="J5" s="19" t="n">
        <v>1</v>
      </c>
      <c r="K5" s="19" t="inlineStr">
        <is>
          <t>Alta</t>
        </is>
      </c>
      <c r="L5" s="19" t="inlineStr">
        <is>
          <t>Mídia Paga</t>
        </is>
      </c>
    </row>
    <row r="6">
      <c r="A6" s="19" t="inlineStr">
        <is>
          <t>VPromo</t>
        </is>
      </c>
      <c r="B6" s="19" t="inlineStr">
        <is>
          <t>Diária</t>
        </is>
      </c>
      <c r="C6" s="19" t="inlineStr">
        <is>
          <t>3 anos</t>
        </is>
      </c>
      <c r="D6" s="19" t="inlineStr">
        <is>
          <t>Não</t>
        </is>
      </c>
      <c r="E6" s="19" t="inlineStr">
        <is>
          <t>Média</t>
        </is>
      </c>
      <c r="F6" s="19" t="inlineStr">
        <is>
          <t>Em preenchimento</t>
        </is>
      </c>
      <c r="G6" s="19" t="inlineStr">
        <is>
          <t>15 min</t>
        </is>
      </c>
      <c r="H6" s="19" t="inlineStr">
        <is>
          <t>A</t>
        </is>
      </c>
      <c r="I6" s="19" t="inlineStr">
        <is>
          <t>Operacional</t>
        </is>
      </c>
      <c r="J6" s="19" t="n">
        <v>2</v>
      </c>
      <c r="K6" s="19" t="inlineStr">
        <is>
          <t>Média</t>
        </is>
      </c>
      <c r="L6" s="19" t="inlineStr">
        <is>
          <t>Inbound</t>
        </is>
      </c>
    </row>
    <row r="7">
      <c r="A7" s="19" t="inlineStr">
        <is>
          <t>VBOT</t>
        </is>
      </c>
      <c r="B7" s="19" t="inlineStr">
        <is>
          <t>Semanal</t>
        </is>
      </c>
      <c r="C7" s="19" t="inlineStr">
        <is>
          <t>5 anos</t>
        </is>
      </c>
      <c r="E7" s="19" t="inlineStr">
        <is>
          <t>Baixa</t>
        </is>
      </c>
      <c r="F7" s="19" t="inlineStr">
        <is>
          <t>Preenchido</t>
        </is>
      </c>
      <c r="G7" s="19" t="inlineStr">
        <is>
          <t>1 hora</t>
        </is>
      </c>
      <c r="H7" s="19" t="inlineStr">
        <is>
          <t>C</t>
        </is>
      </c>
      <c r="I7" s="19" t="inlineStr">
        <is>
          <t>Financeiro</t>
        </is>
      </c>
      <c r="J7" s="19" t="n">
        <v>3</v>
      </c>
      <c r="K7" s="19" t="inlineStr">
        <is>
          <t>Baixa</t>
        </is>
      </c>
      <c r="L7" s="19" t="inlineStr">
        <is>
          <t>Account (Atendimento)</t>
        </is>
      </c>
    </row>
    <row r="8">
      <c r="A8" s="19" t="inlineStr">
        <is>
          <t>Vanguarda Martech e VPromo</t>
        </is>
      </c>
      <c r="B8" s="19" t="inlineStr">
        <is>
          <t>Quinzenal</t>
        </is>
      </c>
      <c r="C8" s="19" t="inlineStr">
        <is>
          <t>Permanente</t>
        </is>
      </c>
      <c r="F8" s="19" t="inlineStr">
        <is>
          <t>Validado pela Qualidade</t>
        </is>
      </c>
      <c r="G8" s="19" t="inlineStr">
        <is>
          <t>D+1</t>
        </is>
      </c>
      <c r="H8" s="19" t="inlineStr">
        <is>
          <t>I</t>
        </is>
      </c>
      <c r="I8" s="19" t="inlineStr">
        <is>
          <t>Compliance</t>
        </is>
      </c>
      <c r="L8" s="19" t="inlineStr">
        <is>
          <t>Criação</t>
        </is>
      </c>
    </row>
    <row r="9">
      <c r="A9" s="19" t="inlineStr">
        <is>
          <t>Todas</t>
        </is>
      </c>
      <c r="B9" s="19" t="inlineStr">
        <is>
          <t>Mensal</t>
        </is>
      </c>
      <c r="G9" s="19" t="inlineStr">
        <is>
          <t>D+2</t>
        </is>
      </c>
      <c r="I9" s="19" t="inlineStr">
        <is>
          <t>Governance</t>
        </is>
      </c>
      <c r="L9" s="19" t="inlineStr">
        <is>
          <t>Direção de Arte</t>
        </is>
      </c>
    </row>
    <row r="10">
      <c r="B10" s="19" t="inlineStr">
        <is>
          <t>Trimestral</t>
        </is>
      </c>
      <c r="G10" s="19" t="inlineStr">
        <is>
          <t>Semanal</t>
        </is>
      </c>
      <c r="L10" s="19" t="inlineStr">
        <is>
          <t>Diretoria de Operações</t>
        </is>
      </c>
    </row>
    <row r="11">
      <c r="B11" s="19" t="inlineStr">
        <is>
          <t>Semestral</t>
        </is>
      </c>
      <c r="G11" s="19" t="inlineStr">
        <is>
          <t>Mensal</t>
        </is>
      </c>
      <c r="L11" s="19" t="inlineStr">
        <is>
          <t>Recursos Humanos</t>
        </is>
      </c>
    </row>
    <row r="12">
      <c r="B12" s="19" t="inlineStr">
        <is>
          <t>Anual</t>
        </is>
      </c>
      <c r="L12" s="19" t="inlineStr">
        <is>
          <t>Diretoria Executiva</t>
        </is>
      </c>
    </row>
    <row r="13">
      <c r="L13" s="19" t="inlineStr">
        <is>
          <t>Social Media</t>
        </is>
      </c>
    </row>
    <row r="14">
      <c r="L14" s="19" t="inlineStr">
        <is>
          <t>Financeiro / Controladoria</t>
        </is>
      </c>
    </row>
    <row r="15">
      <c r="L15" s="19" t="inlineStr">
        <is>
          <t>Planejamento, Estratégia e Inovação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2026-09-11T15:43:07Z</dcterms:created>
  <dcterms:modified xsi:type="dcterms:W3CDTF">2026-09-11T15:43:08Z</dcterms:modified>
</cp:coreProperties>
</file>