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Frentes" sheetId="2" state="visible" r:id="rId2"/>
    <sheet name="Marcos" sheetId="3" state="visible" r:id="rId3"/>
    <sheet name="Frequência e créditos" sheetId="4" state="visible" r:id="rId4"/>
    <sheet name="Qualidade e indicadores" sheetId="5" state="visible" r:id="rId5"/>
    <sheet name="Acompanhamento semanal" sheetId="6" state="visible" r:id="rId6"/>
    <sheet name="Riscos e premiss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bottom style="thin">
        <color rgb="00D9DE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3" fillId="2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Plano de conexão de todas as fontes de dados — submetido à aprovação da Diretoria</t>
        </is>
      </c>
    </row>
    <row r="2">
      <c r="A2" s="2" t="inlineStr">
        <is>
          <t>Posição de 16/10/2026. Parte do inventário de 13/10, refeito com o estado de 16/10 (planilha oficial #1743 e relatório #1749).</t>
        </is>
      </c>
    </row>
    <row r="3">
      <c r="A3" s="2" t="inlineStr">
        <is>
          <t>SITUAÇÃO: submetido, NÃO aprovado. Nenhum pedido foi enviado a terceiros; prazos e responsáveis são proposta.</t>
        </is>
      </c>
    </row>
    <row r="4">
      <c r="A4" s="2" t="inlineStr"/>
    </row>
    <row r="5">
      <c r="A5" s="1" t="inlineStr">
        <is>
          <t>PONTO DE PARTIDA</t>
        </is>
      </c>
    </row>
    <row r="6">
      <c r="A6" s="2" t="inlineStr">
        <is>
          <t>209 contas aplicáveis; 159 com leitura confirmada (76,1%); 161 conectadas; 131 com dado ativo; 28 pendentes; 13 bloqueadas; 7 sem conector em uso.</t>
        </is>
      </c>
    </row>
    <row r="7">
      <c r="A7" s="2" t="inlineStr">
        <is>
          <t>META: 209 de 209 em 04/11 se todas as dependências externas forem entregues até 23/10. Piso de 204 (97,6%) se CDL (Google e RD) e três contas Google de ID pendente ficarem de fora.</t>
        </is>
      </c>
    </row>
    <row r="8">
      <c r="A8" s="2" t="inlineStr"/>
    </row>
    <row r="9">
      <c r="A9" s="1" t="inlineStr">
        <is>
          <t>ABAS</t>
        </is>
      </c>
    </row>
    <row r="10">
      <c r="A10" s="2" t="inlineStr">
        <is>
          <t>Frentes: 17 frentes com prioridade, complexidade, dependências, responsável, prazo, frequência e créditos.</t>
        </is>
      </c>
    </row>
    <row r="11">
      <c r="A11" s="2" t="inlineStr">
        <is>
          <t>Marcos: 11 marcos verificáveis e a cobertura esperada.</t>
        </is>
      </c>
    </row>
    <row r="12">
      <c r="A12" s="2" t="inlineStr">
        <is>
          <t>Frequência e créditos: proposta por família e cenários contra 9.000.</t>
        </is>
      </c>
    </row>
    <row r="13">
      <c r="A13" s="2" t="inlineStr">
        <is>
          <t>Qualidade e indicadores: portão de admissão e 11 indicadores.</t>
        </is>
      </c>
    </row>
    <row r="14">
      <c r="A14" s="2" t="inlineStr">
        <is>
          <t>Acompanhamento semanal: planilha para preencher toda quarta-feira.</t>
        </is>
      </c>
    </row>
    <row r="15">
      <c r="A15" s="2" t="inlineStr">
        <is>
          <t>Riscos e premissas.</t>
        </is>
      </c>
    </row>
    <row r="16">
      <c r="A16" s="2" t="inlineStr"/>
    </row>
    <row r="17">
      <c r="A17" s="1" t="inlineStr">
        <is>
          <t>DECISÕES QUE PEDIMOS</t>
        </is>
      </c>
    </row>
    <row r="18">
      <c r="A18" s="2" t="inlineStr">
        <is>
          <t>1. Nomear o administrador do MCC Google Ads (único sem nome; o do Business Manager Meta é João Araújo e Facebook/Instagram é Gabriela Bezerra). Sem esse nome, os bloqueios P1 do Google não têm dono.</t>
        </is>
      </c>
    </row>
    <row r="19">
      <c r="A19" s="2" t="inlineStr">
        <is>
          <t>2. Definir a política de disparo manual e a cadência do notebook do iClips. Isso decide se a expansão cabe nos 9.000 créditos.</t>
        </is>
      </c>
    </row>
    <row r="20">
      <c r="A20" s="2" t="inlineStr">
        <is>
          <t>3. Pedir ao administrador do MCC o desvínculo ou a pausa das 11 contas Google de ex-clientes e inativos (Nova Era, UIARA, Pátio Gourmet, Olá Casa Nova, Hope Bay Park, Julia Herrera: R$ 46.430,03 em 30 dias) e decidir sobre a conta própria da Vanguarda.</t>
        </is>
      </c>
    </row>
    <row r="21">
      <c r="A21" s="2" t="inlineStr">
        <is>
          <t>4. Definir a lista de contas de Instagram e de Páginas que a agência exige, e a cadência dessas fontes.</t>
        </is>
      </c>
    </row>
    <row r="22">
      <c r="A22" s="2" t="inlineStr">
        <is>
          <t>5. Autorizar o arquivamento, na interface da Nekt (o MCP não arquiva), das fontes duplicadas de RD (1eaJ e bjQx) e das fontes dos ex-clientes ainda publicadas.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0" customWidth="1" min="4" max="4"/>
    <col width="13" customWidth="1" min="5" max="5"/>
    <col width="44" customWidth="1" min="6" max="6"/>
    <col width="30" customWidth="1" min="7" max="7"/>
    <col width="22" customWidth="1" min="8" max="8"/>
    <col width="26" customWidth="1" min="9" max="9"/>
    <col width="22" customWidth="1" min="10" max="10"/>
    <col width="44" customWidth="1" min="11" max="11"/>
  </cols>
  <sheetData>
    <row r="1">
      <c r="A1" s="3" t="inlineStr">
        <is>
          <t>ID</t>
        </is>
      </c>
      <c r="B1" s="3" t="inlineStr">
        <is>
          <t>Integração</t>
        </is>
      </c>
      <c r="C1" s="3" t="inlineStr">
        <is>
          <t>Contas</t>
        </is>
      </c>
      <c r="D1" s="3" t="inlineStr">
        <is>
          <t>Prioridade</t>
        </is>
      </c>
      <c r="E1" s="3" t="inlineStr">
        <is>
          <t>Complexidade</t>
        </is>
      </c>
      <c r="F1" s="3" t="inlineStr">
        <is>
          <t>Dependências</t>
        </is>
      </c>
      <c r="G1" s="3" t="inlineStr">
        <is>
          <t>Responsável técnico</t>
        </is>
      </c>
      <c r="H1" s="3" t="inlineStr">
        <is>
          <t>Prazo</t>
        </is>
      </c>
      <c r="I1" s="3" t="inlineStr">
        <is>
          <t>Frequência de atualização (proposta)</t>
        </is>
      </c>
      <c r="J1" s="3" t="inlineStr">
        <is>
          <t>Créditos por mês (acréscimo)</t>
        </is>
      </c>
      <c r="K1" s="3" t="inlineStr">
        <is>
          <t>Marco verificável</t>
        </is>
      </c>
    </row>
    <row r="2">
      <c r="A2" s="4" t="inlineStr">
        <is>
          <t>F01</t>
        </is>
      </c>
      <c r="B2" s="4" t="inlineStr">
        <is>
          <t>Reautorização Google Ads v2.53 (43 fontes)</t>
        </is>
      </c>
      <c r="C2" s="4" t="inlineStr">
        <is>
          <t>41 contas</t>
        </is>
      </c>
      <c r="D2" s="4" t="inlineStr">
        <is>
          <t>P1</t>
        </is>
      </c>
      <c r="E2" s="4" t="inlineStr">
        <is>
          <t>Média</t>
        </is>
      </c>
      <c r="F2" s="4" t="inlineStr">
        <is>
          <t>Admin do MCC Google; usuário Google do MCC</t>
        </is>
      </c>
      <c r="G2" s="4" t="inlineStr">
        <is>
          <t>Admin do MCC (nome a confirmar)</t>
        </is>
      </c>
      <c r="H2" s="4" t="inlineStr">
        <is>
          <t>23/10 (prev. 22/10)</t>
        </is>
      </c>
      <c r="I2" s="4" t="inlineStr">
        <is>
          <t>Semanal, terça (manter)</t>
        </is>
      </c>
      <c r="J2" s="4" t="inlineStr">
        <is>
          <t>0</t>
        </is>
      </c>
      <c r="K2" s="4" t="inlineStr">
        <is>
          <t>43 fontes autorizadas e extraindo na terça 27/10</t>
        </is>
      </c>
    </row>
    <row r="3">
      <c r="A3" s="4" t="inlineStr">
        <is>
          <t>F02</t>
        </is>
      </c>
      <c r="B3" s="4" t="inlineStr">
        <is>
          <t>Meta: 7 contas com erro 403 (ads_read)</t>
        </is>
      </c>
      <c r="C3" s="4" t="inlineStr">
        <is>
          <t>7 contas</t>
        </is>
      </c>
      <c r="D3" s="4" t="inlineStr">
        <is>
          <t>P1</t>
        </is>
      </c>
      <c r="E3" s="4" t="inlineStr">
        <is>
          <t>Média</t>
        </is>
      </c>
      <c r="F3" s="4" t="inlineStr">
        <is>
          <t>Atribuição da conta ao usuário da conexão no Business Manager</t>
        </is>
      </c>
      <c r="G3" s="4" t="inlineStr">
        <is>
          <t>João Araújo (BM Meta)</t>
        </is>
      </c>
      <c r="H3" s="4" t="inlineStr">
        <is>
          <t>27/10 (prev. 20/10)</t>
        </is>
      </c>
      <c r="I3" s="4" t="inlineStr">
        <is>
          <t>Semanal, terça (manter)</t>
        </is>
      </c>
      <c r="J3" s="4" t="inlineStr">
        <is>
          <t>0 (falha não consome)</t>
        </is>
      </c>
      <c r="K3" s="4" t="inlineStr">
        <is>
          <t>Zero falha 403 na terça 27/10; fonte não desativada</t>
        </is>
      </c>
    </row>
    <row r="4">
      <c r="A4" s="4" t="inlineStr">
        <is>
          <t>F03</t>
        </is>
      </c>
      <c r="B4" s="4" t="inlineStr">
        <is>
          <t>Meta: 18 rascunhos sem autorização</t>
        </is>
      </c>
      <c r="C4" s="4" t="inlineStr">
        <is>
          <t>18 contas</t>
        </is>
      </c>
      <c r="D4" s="4" t="inlineStr">
        <is>
          <t>P1</t>
        </is>
      </c>
      <c r="E4" s="4" t="inlineStr">
        <is>
          <t>Baixa a média</t>
        </is>
      </c>
      <c r="F4" s="4" t="inlineStr">
        <is>
          <t>OAuth por conta (João); nome de camada confirmado (Jussara, irreversível)</t>
        </is>
      </c>
      <c r="G4" s="4" t="inlineStr">
        <is>
          <t>João Araújo + Jussara</t>
        </is>
      </c>
      <c r="H4" s="4" t="inlineStr">
        <is>
          <t>OAuth 21/10; publicar 22/10</t>
        </is>
      </c>
      <c r="I4" s="4" t="inlineStr">
        <is>
          <t>Semanal, terça</t>
        </is>
      </c>
      <c r="J4" s="4" t="inlineStr">
        <is>
          <t>+78</t>
        </is>
      </c>
      <c r="K4" s="4" t="inlineStr">
        <is>
          <t>18 fontes com 1ª execução agendada e linhas em 27/10</t>
        </is>
      </c>
    </row>
    <row r="5">
      <c r="A5" s="4" t="inlineStr">
        <is>
          <t>F04</t>
        </is>
      </c>
      <c r="B5" s="4" t="inlineStr">
        <is>
          <t>Meta: CA Braga Motos 2 (erro 400 no stream ads)</t>
        </is>
      </c>
      <c r="C5" s="4" t="inlineStr">
        <is>
          <t>1 conta</t>
        </is>
      </c>
      <c r="D5" s="4" t="inlineStr">
        <is>
          <t>P2</t>
        </is>
      </c>
      <c r="E5" s="4" t="inlineStr">
        <is>
          <t>Média</t>
        </is>
      </c>
      <c r="F5" s="4" t="inlineStr">
        <is>
          <t>Gestor de mídia corrige o anúncio com asset_feed_spec em conflito</t>
        </is>
      </c>
      <c r="G5" s="4" t="inlineStr">
        <is>
          <t>Gestor de mídia da conta</t>
        </is>
      </c>
      <c r="H5" s="4" t="inlineStr">
        <is>
          <t>20/10</t>
        </is>
      </c>
      <c r="I5" s="4" t="inlineStr">
        <is>
          <t>Semanal, terça</t>
        </is>
      </c>
      <c r="J5" s="4" t="inlineStr">
        <is>
          <t>0</t>
        </is>
      </c>
      <c r="K5" s="4" t="inlineStr">
        <is>
          <t>Execução da terça sem erro 400</t>
        </is>
      </c>
    </row>
    <row r="6">
      <c r="A6" s="4" t="inlineStr">
        <is>
          <t>F05</t>
        </is>
      </c>
      <c r="B6" s="4" t="inlineStr">
        <is>
          <t>Google: 5 contas pendentes</t>
        </is>
      </c>
      <c r="C6" s="4" t="inlineStr">
        <is>
          <t>5 contas</t>
        </is>
      </c>
      <c r="D6" s="4" t="inlineStr">
        <is>
          <t>P2</t>
        </is>
      </c>
      <c r="E6" s="4" t="inlineStr">
        <is>
          <t>Baixa</t>
        </is>
      </c>
      <c r="F6" s="4" t="inlineStr">
        <is>
          <t>Autorização do admin do MCC; AMs confirmam as 4 contas</t>
        </is>
      </c>
      <c r="G6" s="4" t="inlineStr">
        <is>
          <t>Account Managers + Admin do MCC</t>
        </is>
      </c>
      <c r="H6" s="4" t="inlineStr">
        <is>
          <t>21–23/10</t>
        </is>
      </c>
      <c r="I6" s="4" t="inlineStr">
        <is>
          <t>Semanal, terça</t>
        </is>
      </c>
      <c r="J6" s="4" t="inlineStr">
        <is>
          <t>+22</t>
        </is>
      </c>
      <c r="K6" s="4" t="inlineStr">
        <is>
          <t>5 fontes com 1ª execução e COUNT &gt; 0 em 27/10</t>
        </is>
      </c>
    </row>
    <row r="7">
      <c r="A7" s="4" t="inlineStr">
        <is>
          <t>F06</t>
        </is>
      </c>
      <c r="B7" s="4" t="inlineStr">
        <is>
          <t>Google: 4 contas bloqueadas (CDL, Santo Remédio antigo, Comac, Braga Venda Direta)</t>
        </is>
      </c>
      <c r="C7" s="4" t="inlineStr">
        <is>
          <t>4 contas</t>
        </is>
      </c>
      <c r="D7" s="4" t="inlineStr">
        <is>
          <t>P3</t>
        </is>
      </c>
      <c r="E7" s="4" t="inlineStr">
        <is>
          <t>Alta</t>
        </is>
      </c>
      <c r="F7" s="4" t="inlineStr">
        <is>
          <t>IDs que não existem no MCC; CDL por plano; decisão do Santo Remédio</t>
        </is>
      </c>
      <c r="G7" s="4" t="inlineStr">
        <is>
          <t>João Araújo (IDs) + Admin do MCC; AM da CDL</t>
        </is>
      </c>
      <c r="H7" s="4" t="inlineStr">
        <is>
          <t>IDs 21/10; CDL sem previsão</t>
        </is>
      </c>
      <c r="I7" s="4" t="inlineStr">
        <is>
          <t>Semanal, terça</t>
        </is>
      </c>
      <c r="J7" s="4" t="inlineStr">
        <is>
          <t>+17 (se as 4 entrarem)</t>
        </is>
      </c>
      <c r="K7" s="4" t="inlineStr">
        <is>
          <t>Cada conta com ID válido ou saída formal do escopo</t>
        </is>
      </c>
    </row>
    <row r="8">
      <c r="A8" s="4" t="inlineStr">
        <is>
          <t>F07</t>
        </is>
      </c>
      <c r="B8" s="4" t="inlineStr">
        <is>
          <t>RD Station: 5 pendentes e CDL bloqueada</t>
        </is>
      </c>
      <c r="C8" s="4" t="inlineStr">
        <is>
          <t>6 contas</t>
        </is>
      </c>
      <c r="D8" s="4" t="inlineStr">
        <is>
          <t>P2</t>
        </is>
      </c>
      <c r="E8" s="4" t="inlineStr">
        <is>
          <t>Baixa</t>
        </is>
      </c>
      <c r="F8" s="4" t="inlineStr">
        <is>
          <t>Login do RD de cada cliente; plano da CDL</t>
        </is>
      </c>
      <c r="G8" s="4" t="inlineStr">
        <is>
          <t>Analistas Inbound (Joyce, Juan Carlos, Bryan)</t>
        </is>
      </c>
      <c r="H8" s="4" t="inlineStr">
        <is>
          <t>21/10</t>
        </is>
      </c>
      <c r="I8" s="4" t="inlineStr">
        <is>
          <t>Semanal (novas)</t>
        </is>
      </c>
      <c r="J8" s="4" t="inlineStr">
        <is>
          <t>+22</t>
        </is>
      </c>
      <c r="K8" s="4" t="inlineStr">
        <is>
          <t>5 fontes com 1ª execução e contatos materializados</t>
        </is>
      </c>
    </row>
    <row r="9">
      <c r="A9" s="4" t="inlineStr">
        <is>
          <t>F08</t>
        </is>
      </c>
      <c r="B9" s="4" t="inlineStr">
        <is>
          <t>RD Station: 2 fontes sem dado, 3 duplicatas</t>
        </is>
      </c>
      <c r="C9" s="4" t="inlineStr">
        <is>
          <t>5 fontes</t>
        </is>
      </c>
      <c r="D9" s="4" t="inlineStr">
        <is>
          <t>P3</t>
        </is>
      </c>
      <c r="E9" s="4" t="inlineStr">
        <is>
          <t>Baixa</t>
        </is>
      </c>
      <c r="F9" s="4" t="inlineStr">
        <is>
          <t>Arquivar na interface da Nekt (o MCP não arquiva)</t>
        </is>
      </c>
      <c r="G9" s="4" t="inlineStr">
        <is>
          <t>Jussara + Analistas Inbound</t>
        </is>
      </c>
      <c r="H9" s="4" t="inlineStr">
        <is>
          <t>23/10</t>
        </is>
      </c>
      <c r="I9" s="4" t="inlineStr">
        <is>
          <t>—</t>
        </is>
      </c>
      <c r="J9" s="4" t="inlineStr">
        <is>
          <t>≈ −65 (duplicatas)</t>
        </is>
      </c>
      <c r="K9" s="4" t="inlineStr">
        <is>
          <t>Duplicatas arquivadas; 2 fontes com dado ou justificadas</t>
        </is>
      </c>
    </row>
    <row r="10">
      <c r="A10" s="4" t="inlineStr">
        <is>
          <t>F09</t>
        </is>
      </c>
      <c r="B10" s="4" t="inlineStr">
        <is>
          <t>TikTok Ads e LinkedIn Ads</t>
        </is>
      </c>
      <c r="C10" s="4" t="inlineStr">
        <is>
          <t>7 contas</t>
        </is>
      </c>
      <c r="D10" s="4" t="inlineStr">
        <is>
          <t>P3</t>
        </is>
      </c>
      <c r="E10" s="4" t="inlineStr">
        <is>
          <t>Alta</t>
        </is>
      </c>
      <c r="F10" s="4" t="inlineStr">
        <is>
          <t>Conector existe e nunca foi usado; IDs das contas; Trusted nova a criar</t>
        </is>
      </c>
      <c r="G10" s="4" t="inlineStr">
        <is>
          <t>João Araújo e analistas das contas</t>
        </is>
      </c>
      <c r="H10" s="4" t="inlineStr">
        <is>
          <t>IDs 30/10; execução 03/11</t>
        </is>
      </c>
      <c r="I10" s="4" t="inlineStr">
        <is>
          <t>Semanal</t>
        </is>
      </c>
      <c r="J10" s="4" t="inlineStr">
        <is>
          <t>+30</t>
        </is>
      </c>
      <c r="K10" s="4" t="inlineStr">
        <is>
          <t>7 fontes com dado conferido contra a plataforma</t>
        </is>
      </c>
    </row>
    <row r="11">
      <c r="A11" s="4" t="inlineStr">
        <is>
          <t>F10</t>
        </is>
      </c>
      <c r="B11" s="4" t="inlineStr">
        <is>
          <t>Instagram e Páginas do Facebook</t>
        </is>
      </c>
      <c r="C11" s="4" t="inlineStr">
        <is>
          <t>26 fontes (créditos sobre 25 agendáveis)</t>
        </is>
      </c>
      <c r="D11" s="4" t="inlineStr">
        <is>
          <t>P2</t>
        </is>
      </c>
      <c r="E11" s="4" t="inlineStr">
        <is>
          <t>Média</t>
        </is>
      </c>
      <c r="F11" s="4" t="inlineStr">
        <is>
          <t>Lista de contas que a agência exige (hoje inexistente); limite de posts da extração</t>
        </is>
      </c>
      <c r="G11" s="4" t="inlineStr">
        <is>
          <t>Gabriela Bezerra + Jussara</t>
        </is>
      </c>
      <c r="H11" s="4" t="inlineStr">
        <is>
          <t>Instagram: conexão 20/10 (calendário da Gabriela); lista de contas e agenda 23/10; fechamento 02/11</t>
        </is>
      </c>
      <c r="I11" s="4" t="inlineStr">
        <is>
          <t>Semanal (diário custa +761)</t>
        </is>
      </c>
      <c r="J11" s="4" t="inlineStr">
        <is>
          <t>+118</t>
        </is>
      </c>
      <c r="K11" s="4" t="inlineStr">
        <is>
          <t>Lista definida e percentual de cobertura calculável</t>
        </is>
      </c>
    </row>
    <row r="12">
      <c r="A12" s="4" t="inlineStr">
        <is>
          <t>F11</t>
        </is>
      </c>
      <c r="B12" s="4" t="inlineStr">
        <is>
          <t>Sistemas internos: GitHub, Z-API, Semrush, RH, Qulture, Quickin</t>
        </is>
      </c>
      <c r="C12" s="4" t="inlineStr">
        <is>
          <t>6 sistemas</t>
        </is>
      </c>
      <c r="D12" s="4" t="inlineStr">
        <is>
          <t>P3</t>
        </is>
      </c>
      <c r="E12" s="4" t="inlineStr">
        <is>
          <t>Alta</t>
        </is>
      </c>
      <c r="F12" s="4" t="inlineStr">
        <is>
          <t>Configuração na interface de cada fonte; RH sem fonte conectada</t>
        </is>
      </c>
      <c r="G12" s="4" t="inlineStr">
        <is>
          <t>Jussara + donos dos sistemas</t>
        </is>
      </c>
      <c r="H12" s="4" t="inlineStr">
        <is>
          <t>22/10 (GitHub, Z-API); 30/10 (Semrush)</t>
        </is>
      </c>
      <c r="I12" s="4" t="inlineStr">
        <is>
          <t>Semanal</t>
        </is>
      </c>
      <c r="J12" s="4" t="inlineStr">
        <is>
          <t>+13</t>
        </is>
      </c>
      <c r="K12" s="4" t="inlineStr">
        <is>
          <t>Tabela com linhas em cada sistema necessário</t>
        </is>
      </c>
    </row>
    <row r="13">
      <c r="A13" s="4" t="inlineStr">
        <is>
          <t>F12</t>
        </is>
      </c>
      <c r="B13" s="4" t="inlineStr">
        <is>
          <t>Somar as fontes novas à Trusted de Facebook e RD</t>
        </is>
      </c>
      <c r="C13" s="4" t="inlineStr">
        <is>
          <t>63 Meta + 18 Meta + 19 RD</t>
        </is>
      </c>
      <c r="D13" s="4" t="inlineStr">
        <is>
          <t>P1</t>
        </is>
      </c>
      <c r="E13" s="4" t="inlineStr">
        <is>
          <t>Média</t>
        </is>
      </c>
      <c r="F13" s="4" t="inlineStr">
        <is>
          <t>Dado confirmado por conta; LIMIT 0 e esquema idêntico; regra de gatilho</t>
        </is>
      </c>
      <c r="G13" s="4" t="inlineStr">
        <is>
          <t>Jussara</t>
        </is>
      </c>
      <c r="H13" s="4" t="inlineStr">
        <is>
          <t>63 Meta 22/10; demais 03/11</t>
        </is>
      </c>
      <c r="I13" s="4" t="inlineStr">
        <is>
          <t>Acompanha a fonte</t>
        </is>
      </c>
      <c r="J13" s="4" t="inlineStr">
        <is>
          <t>+4 (regra "todas") ou +548 ("qualquer")</t>
        </is>
      </c>
      <c r="K13" s="4" t="inlineStr">
        <is>
          <t>Contas novas na Trusted e conferidas contra a plataforma</t>
        </is>
      </c>
    </row>
    <row r="14">
      <c r="A14" s="4" t="inlineStr">
        <is>
          <t>F13</t>
        </is>
      </c>
      <c r="B14" s="4" t="inlineStr">
        <is>
          <t>Ex-clientes: arquivar fontes e desvincular 11 contas Google do MCC</t>
        </is>
      </c>
      <c r="C14" s="4" t="inlineStr">
        <is>
          <t>3 fontes + 11 contas</t>
        </is>
      </c>
      <c r="D14" s="4" t="inlineStr">
        <is>
          <t>P2</t>
        </is>
      </c>
      <c r="E14" s="4" t="inlineStr">
        <is>
          <t>Baixa</t>
        </is>
      </c>
      <c r="F14" s="4" t="inlineStr">
        <is>
          <t>Arquivar só pela interface; desvínculo é do admin do MCC</t>
        </is>
      </c>
      <c r="G14" s="4" t="inlineStr">
        <is>
          <t>Jussara + Admin do MCC</t>
        </is>
      </c>
      <c r="H14" s="4" t="inlineStr">
        <is>
          <t>23/10</t>
        </is>
      </c>
      <c r="I14" s="4" t="inlineStr">
        <is>
          <t>—</t>
        </is>
      </c>
      <c r="J14" s="4" t="inlineStr">
        <is>
          <t>Economiza execuções (não estimado)</t>
        </is>
      </c>
      <c r="K14" s="4" t="inlineStr">
        <is>
          <t>Fontes arquivadas; contas fora do MCC ou pausadas</t>
        </is>
      </c>
    </row>
    <row r="15">
      <c r="A15" s="4" t="inlineStr">
        <is>
          <t>F14</t>
        </is>
      </c>
      <c r="B15" s="4" t="inlineStr">
        <is>
          <t>Política de créditos: notebook do iClips e disparos manuais</t>
        </is>
      </c>
      <c r="C15" s="4" t="inlineStr">
        <is>
          <t>—</t>
        </is>
      </c>
      <c r="D15" s="4" t="inlineStr">
        <is>
          <t>P1</t>
        </is>
      </c>
      <c r="E15" s="4" t="inlineStr">
        <is>
          <t>Baixa (decisão)</t>
        </is>
      </c>
      <c r="F15" s="4" t="inlineStr">
        <is>
          <t>Decisão da Diretoria</t>
        </is>
      </c>
      <c r="G15" s="4" t="inlineStr">
        <is>
          <t>Diretoria + Jussara</t>
        </is>
      </c>
      <c r="H15" s="4" t="inlineStr">
        <is>
          <t>23/10</t>
        </is>
      </c>
      <c r="I15" s="4" t="inlineStr">
        <is>
          <t>Notebook: 4h hoje; opções 8h, 12h, 1×/dia</t>
        </is>
      </c>
      <c r="J15" s="4" t="inlineStr">
        <is>
          <t>8h: ≈ −1.650</t>
        </is>
      </c>
      <c r="K15" s="4" t="inlineStr">
        <is>
          <t>Decisão registrada e cadência alterada, se for o caso</t>
        </is>
      </c>
    </row>
    <row r="16">
      <c r="A16" s="4" t="inlineStr">
        <is>
          <t>F15</t>
        </is>
      </c>
      <c r="B16" s="4" t="inlineStr">
        <is>
          <t>TikTok orgânico (conector tiktok: perfil e vídeos; difere do TikTok Ads da F09)</t>
        </is>
      </c>
      <c r="C16" s="4" t="inlineStr">
        <is>
          <t>a definir (fora das 209)</t>
        </is>
      </c>
      <c r="D16" s="4" t="inlineStr">
        <is>
          <t>P2</t>
        </is>
      </c>
      <c r="E16" s="4" t="inlineStr">
        <is>
          <t>Média</t>
        </is>
      </c>
      <c r="F16" s="4" t="inlineStr">
        <is>
          <t>Contas e acessos do TikTok orgânico por cliente; nome de camada confirmado (R-001); Trusted nova a criar</t>
        </is>
      </c>
      <c r="G16" s="4" t="inlineStr">
        <is>
          <t>Gabriela Bezerra + Jussara</t>
        </is>
      </c>
      <c r="H16" s="4" t="inlineStr">
        <is>
          <t>Conexão 21/10 a 23/10 (calendário da Gabriela)</t>
        </is>
      </c>
      <c r="I16" s="4" t="inlineStr">
        <is>
          <t>Semanal</t>
        </is>
      </c>
      <c r="J16" s="4" t="inlineStr">
        <is>
          <t>+4,35 por fonte (nº de fontes a definir)</t>
        </is>
      </c>
      <c r="K16" s="4" t="inlineStr">
        <is>
          <t>Fonte com 1ª execução agendada e linhas na tabela (27/10 se semanal na terça)</t>
        </is>
      </c>
    </row>
    <row r="17">
      <c r="A17" s="4" t="inlineStr">
        <is>
          <t>F16</t>
        </is>
      </c>
      <c r="B17" s="4" t="inlineStr">
        <is>
          <t>Google Meu Negócio (conector google-my-business; sem fonte hoje)</t>
        </is>
      </c>
      <c r="C17" s="4" t="inlineStr">
        <is>
          <t>a definir (fora das 209)</t>
        </is>
      </c>
      <c r="D17" s="4" t="inlineStr">
        <is>
          <t>P2</t>
        </is>
      </c>
      <c r="E17" s="4" t="inlineStr">
        <is>
          <t>Alta</t>
        </is>
      </c>
      <c r="F17" s="4" t="inlineStr">
        <is>
          <t>Levantamento de contas e proprietários dos perfis; convites e permissões dos donos; Trusted nova a criar</t>
        </is>
      </c>
      <c r="G17" s="4" t="inlineStr">
        <is>
          <t>Gabriela Bezerra + Jussara</t>
        </is>
      </c>
      <c r="H17" s="4" t="inlineStr">
        <is>
          <t>Levantamento 26/10; conexão até 29/10; buffer 30/10</t>
        </is>
      </c>
      <c r="I17" s="4" t="inlineStr">
        <is>
          <t>Semanal</t>
        </is>
      </c>
      <c r="J17" s="4" t="inlineStr">
        <is>
          <t>+4,35 por fonte (nº de fontes a definir)</t>
        </is>
      </c>
      <c r="K17" s="4" t="inlineStr">
        <is>
          <t>Fontes com 1ª execução agendada e linhas na tabela (03/11 se semanal na terça)</t>
        </is>
      </c>
    </row>
    <row r="18">
      <c r="A18" s="4" t="inlineStr">
        <is>
          <t>F17</t>
        </is>
      </c>
      <c r="B18" s="4" t="inlineStr">
        <is>
          <t>Fechamento: relatório final de cobertura</t>
        </is>
      </c>
      <c r="C18" s="4" t="inlineStr">
        <is>
          <t>209 contas + frentes novas</t>
        </is>
      </c>
      <c r="D18" s="4" t="inlineStr">
        <is>
          <t>P1</t>
        </is>
      </c>
      <c r="E18" s="4" t="inlineStr">
        <is>
          <t>Baixa</t>
        </is>
      </c>
      <c r="F18" s="4" t="inlineStr">
        <is>
          <t>F01 a F16</t>
        </is>
      </c>
      <c r="G18" s="4" t="inlineStr">
        <is>
          <t>Jussara</t>
        </is>
      </c>
      <c r="H18" s="4" t="inlineStr">
        <is>
          <t>04/11</t>
        </is>
      </c>
      <c r="I18" s="4" t="inlineStr">
        <is>
          <t>—</t>
        </is>
      </c>
      <c r="J18" s="4" t="inlineStr">
        <is>
          <t>0</t>
        </is>
      </c>
      <c r="K18" s="4" t="inlineStr">
        <is>
          <t>Cobertura recalculada com a mesma metodologia e entregue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55" customWidth="1" min="3" max="3"/>
    <col width="34" customWidth="1" min="4" max="4"/>
    <col width="60" customWidth="1" min="5" max="5"/>
    <col width="26" customWidth="1" min="6" max="6"/>
  </cols>
  <sheetData>
    <row r="1">
      <c r="A1" s="3" t="inlineStr">
        <is>
          <t>Marco</t>
        </is>
      </c>
      <c r="B1" s="3" t="inlineStr">
        <is>
          <t>Data</t>
        </is>
      </c>
      <c r="C1" s="3" t="inlineStr">
        <is>
          <t>O que acontece</t>
        </is>
      </c>
      <c r="D1" s="3" t="inlineStr">
        <is>
          <t>Contas com leitura confirmada esperadas</t>
        </is>
      </c>
      <c r="E1" s="3" t="inlineStr">
        <is>
          <t>Como verificar</t>
        </is>
      </c>
      <c r="F1" s="3" t="inlineStr">
        <is>
          <t>Responsável</t>
        </is>
      </c>
    </row>
    <row r="2">
      <c r="A2" s="4" t="inlineStr">
        <is>
          <t>M0</t>
        </is>
      </c>
      <c r="B2" s="4" t="inlineStr">
        <is>
          <t>16/10</t>
        </is>
      </c>
      <c r="C2" s="4" t="inlineStr">
        <is>
          <t>Linha de base</t>
        </is>
      </c>
      <c r="D2" s="4" t="inlineStr">
        <is>
          <t>159 de 209 (76,1%)</t>
        </is>
      </c>
      <c r="E2" s="4" t="inlineStr">
        <is>
          <t>Planilha Cobertura recalcula por fórmula; 583 de 583 regras conformes</t>
        </is>
      </c>
      <c r="F2" s="4" t="inlineStr">
        <is>
          <t>Jussara</t>
        </is>
      </c>
    </row>
    <row r="3">
      <c r="A3" s="4" t="inlineStr">
        <is>
          <t>M1</t>
        </is>
      </c>
      <c r="B3" s="4" t="inlineStr">
        <is>
          <t>20/10 (terça)</t>
        </is>
      </c>
      <c r="C3" s="4" t="inlineStr">
        <is>
          <t>Passada de Meta e Google; nenhuma fonte desativada. Gabriela finaliza a conexão do Instagram (calendário dela)</t>
        </is>
      </c>
      <c r="D3" s="4" t="inlineStr">
        <is>
          <t>159 (sem novas leituras)</t>
        </is>
      </c>
      <c r="E3" s="4" t="inlineStr">
        <is>
          <t>list_pipeline_runs: zero fonte desativada pela regra das 3 falhas; as 7 de 403 falham de novo (esperado); fontes de Instagram com agenda definida</t>
        </is>
      </c>
      <c r="F3" s="4" t="inlineStr">
        <is>
          <t>Jussara; Gabriela Bezerra</t>
        </is>
      </c>
    </row>
    <row r="4">
      <c r="A4" s="4" t="inlineStr">
        <is>
          <t>M2</t>
        </is>
      </c>
      <c r="B4" s="4" t="inlineStr">
        <is>
          <t>21/10</t>
        </is>
      </c>
      <c r="C4" s="4" t="inlineStr">
        <is>
          <t>Pedidos enviados e IDs Google levantados; início do TikTok orgânico</t>
        </is>
      </c>
      <c r="D4" s="4" t="inlineStr">
        <is>
          <t>—</t>
        </is>
      </c>
      <c r="E4" s="4" t="inlineStr">
        <is>
          <t>Aba Pedidos com data de envio; lista de IDs de Comac e Braga Venda Direta</t>
        </is>
      </c>
      <c r="F4" s="4" t="inlineStr">
        <is>
          <t>Jussara; João Araújo; Gabriela Bezerra</t>
        </is>
      </c>
    </row>
    <row r="5">
      <c r="A5" s="4" t="inlineStr">
        <is>
          <t>M3</t>
        </is>
      </c>
      <c r="B5" s="4" t="inlineStr">
        <is>
          <t>22/10</t>
        </is>
      </c>
      <c r="C5" s="4" t="inlineStr">
        <is>
          <t>Google v2.53 reautorizado; Meta 403 atribuídas; OAuth dos 28 pendentes (21–23/10); Trusted de Facebook com 63 Meta</t>
        </is>
      </c>
      <c r="D5" s="4" t="inlineStr">
        <is>
          <t>—</t>
        </is>
      </c>
      <c r="E5" s="4" t="inlineStr">
        <is>
          <t>43 fontes reautorizadas na interface; fontes de 403 com execução sem erro; 28 fontes publicadas</t>
        </is>
      </c>
      <c r="F5" s="4" t="inlineStr">
        <is>
          <t>Admin do MCC; João Araújo; Jussara</t>
        </is>
      </c>
    </row>
    <row r="6">
      <c r="A6" s="4" t="inlineStr">
        <is>
          <t>M4</t>
        </is>
      </c>
      <c r="B6" s="4" t="inlineStr">
        <is>
          <t>23/10</t>
        </is>
      </c>
      <c r="C6" s="4" t="inlineStr">
        <is>
          <t>Prazo duro do Google; decisões da Diretoria; lista de Instagram e Páginas; TikTok orgânico validado (calendário da Gabriela)</t>
        </is>
      </c>
      <c r="D6" s="4" t="inlineStr">
        <is>
          <t>—</t>
        </is>
      </c>
      <c r="E6" s="4" t="inlineStr">
        <is>
          <t>Decisões registradas; lista de contas exigidas definida; conta TikTok orgânica integrada</t>
        </is>
      </c>
      <c r="F6" s="4" t="inlineStr">
        <is>
          <t>Diretoria; Gabriela Bezerra</t>
        </is>
      </c>
    </row>
    <row r="7">
      <c r="A7" s="4" t="inlineStr">
        <is>
          <t>M5</t>
        </is>
      </c>
      <c r="B7" s="4" t="inlineStr">
        <is>
          <t>27/10 (terça)</t>
        </is>
      </c>
      <c r="C7" s="4" t="inlineStr">
        <is>
          <t>1ª execução agendada das 28 fontes publicadas e do Instagram; 8 contas Meta sem erro</t>
        </is>
      </c>
      <c r="D7" s="4" t="inlineStr">
        <is>
          <t>—</t>
        </is>
      </c>
      <c r="E7" s="4" t="inlineStr">
        <is>
          <t>28 fontes com sucesso e COUNT &gt; 0 nas tabelas; zero 403 nas 7 contas</t>
        </is>
      </c>
      <c r="F7" s="4" t="inlineStr">
        <is>
          <t>Jussara</t>
        </is>
      </c>
    </row>
    <row r="8">
      <c r="A8" s="4" t="inlineStr">
        <is>
          <t>M6</t>
        </is>
      </c>
      <c r="B8" s="4" t="inlineStr">
        <is>
          <t>28/10</t>
        </is>
      </c>
      <c r="C8" s="4" t="inlineStr">
        <is>
          <t>Varredura da quarta e atualização do placar</t>
        </is>
      </c>
      <c r="D8" s="4" t="inlineStr">
        <is>
          <t>até 195 de 209 (93,3%)</t>
        </is>
      </c>
      <c r="E8" s="4" t="inlineStr">
        <is>
          <t>Planilha Cobertura; one pager semanal</t>
        </is>
      </c>
      <c r="F8" s="4" t="inlineStr">
        <is>
          <t>Jussara</t>
        </is>
      </c>
    </row>
    <row r="9">
      <c r="A9" s="4" t="inlineStr">
        <is>
          <t>M7</t>
        </is>
      </c>
      <c r="B9" s="4" t="inlineStr">
        <is>
          <t>29/10</t>
        </is>
      </c>
      <c r="C9" s="4" t="inlineStr">
        <is>
          <t>Google Meu Negócio finalizado e validado (calendário da Gabriela)</t>
        </is>
      </c>
      <c r="D9" s="4" t="inlineStr">
        <is>
          <t>—</t>
        </is>
      </c>
      <c r="E9" s="4" t="inlineStr">
        <is>
          <t>Permissões e integração das contas conferidas; fonte publicada</t>
        </is>
      </c>
      <c r="F9" s="4" t="inlineStr">
        <is>
          <t>Gabriela Bezerra</t>
        </is>
      </c>
    </row>
    <row r="10">
      <c r="A10" s="4" t="inlineStr">
        <is>
          <t>M8</t>
        </is>
      </c>
      <c r="B10" s="4" t="inlineStr">
        <is>
          <t>30/10</t>
        </is>
      </c>
      <c r="C10" s="4" t="inlineStr">
        <is>
          <t>Buffer de redes sociais: ajustes finais de Instagram, TikTok e Google Meu Negócio; IDs de TikTok Ads e LinkedIn</t>
        </is>
      </c>
      <c r="D10" s="4" t="inlineStr">
        <is>
          <t>—</t>
        </is>
      </c>
      <c r="E10" s="4" t="inlineStr">
        <is>
          <t>Pendências residuais registradas; status final das integrações consolidado</t>
        </is>
      </c>
      <c r="F10" s="4" t="inlineStr">
        <is>
          <t>Gabriela Bezerra; João Araújo</t>
        </is>
      </c>
    </row>
    <row r="11">
      <c r="A11" s="4" t="inlineStr">
        <is>
          <t>M9</t>
        </is>
      </c>
      <c r="B11" s="4" t="inlineStr">
        <is>
          <t>03/11 (terça)</t>
        </is>
      </c>
      <c r="C11" s="4" t="inlineStr">
        <is>
          <t>Contas novas na Trusted; TikTok Ads e LinkedIn com 1ª execução; Google Meu Negócio com 1ª execução; Instagram e Páginas fechados (02/11)</t>
        </is>
      </c>
      <c r="D11" s="4" t="inlineStr">
        <is>
          <t>até 209</t>
        </is>
      </c>
      <c r="E11" s="4" t="inlineStr">
        <is>
          <t>LIMIT 0 na união; contas novas conferidas contra a plataforma (≤ 1%)</t>
        </is>
      </c>
      <c r="F11" s="4" t="inlineStr">
        <is>
          <t>Jussara; Gabriela Bezerra</t>
        </is>
      </c>
    </row>
    <row r="12">
      <c r="A12" s="4" t="inlineStr">
        <is>
          <t>M10</t>
        </is>
      </c>
      <c r="B12" s="4" t="inlineStr">
        <is>
          <t>04/11</t>
        </is>
      </c>
      <c r="C12" s="4" t="inlineStr">
        <is>
          <t>Relatório final de cobertura e indicadores</t>
        </is>
      </c>
      <c r="D12" s="4" t="inlineStr">
        <is>
          <t>209 de 209 (100%) se tudo for entregue; piso 204 (97,6%) se CDL e 3 contas Google de ID pendente ficarem de fora</t>
        </is>
      </c>
      <c r="E12" s="4" t="inlineStr">
        <is>
          <t>Mesma metodologia da linha de base</t>
        </is>
      </c>
      <c r="F12" s="4" t="inlineStr">
        <is>
          <t>Jussara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2" customWidth="1" min="3" max="3"/>
    <col width="30" customWidth="1" min="4" max="4"/>
    <col width="70" customWidth="1" min="5" max="5"/>
  </cols>
  <sheetData>
    <row r="1">
      <c r="A1" s="3" t="inlineStr">
        <is>
          <t>Família</t>
        </is>
      </c>
      <c r="B1" s="3" t="inlineStr">
        <is>
          <t>Hoje (medido)</t>
        </is>
      </c>
      <c r="C1" s="3" t="inlineStr">
        <is>
          <t>Proposta</t>
        </is>
      </c>
      <c r="D1" s="3" t="inlineStr">
        <is>
          <t>Créditos por mês</t>
        </is>
      </c>
      <c r="E1" s="3" t="inlineStr">
        <is>
          <t>Por quê</t>
        </is>
      </c>
    </row>
    <row r="2">
      <c r="A2" s="4" t="inlineStr">
        <is>
          <t>Meta Ads (83 fontes + 18 novas)</t>
        </is>
      </c>
      <c r="B2" s="4" t="inlineStr">
        <is>
          <t>Semanal, terça, escalonada de 5 em 5 min (07:00 a 13:15)</t>
        </is>
      </c>
      <c r="C2" s="4" t="inlineStr">
        <is>
          <t>Manter semanal</t>
        </is>
      </c>
      <c r="D2" s="4" t="inlineStr">
        <is>
          <t>+78 (18 novas)</t>
        </is>
      </c>
      <c r="E2" s="4" t="inlineStr">
        <is>
          <t>Os insights são conferidos em janela de 7 dias; diário não muda a conferência e multiplica o custo</t>
        </is>
      </c>
    </row>
    <row r="3">
      <c r="A3" s="4" t="inlineStr">
        <is>
          <t>Google Ads (43 fontes)</t>
        </is>
      </c>
      <c r="B3" s="4" t="inlineStr">
        <is>
          <t>Semanal, terça 13:43, mais a cadeia de tratamento</t>
        </is>
      </c>
      <c r="C3" s="4" t="inlineStr">
        <is>
          <t>Manter semanal</t>
        </is>
      </c>
      <c r="D3" s="4" t="inlineStr">
        <is>
          <t>+22 (5 novas)</t>
        </is>
      </c>
      <c r="E3" s="4" t="inlineStr">
        <is>
          <t>A cota do desenvolvedor é única para as 43 fontes; disparo manual em massa estourou em 07/10 e 14/10</t>
        </is>
      </c>
    </row>
    <row r="4">
      <c r="A4" s="4" t="inlineStr">
        <is>
          <t>RD Station (30 diárias, 19 semanais)</t>
        </is>
      </c>
      <c r="B4" s="4" t="inlineStr">
        <is>
          <t>Diária (30) e semanal (19)</t>
        </is>
      </c>
      <c r="C4" s="4" t="inlineStr">
        <is>
          <t>Manter as diárias até a decisão; novas semanais</t>
        </is>
      </c>
      <c r="D4" s="4" t="inlineStr">
        <is>
          <t>+22 (5 novas)</t>
        </is>
      </c>
      <c r="E4" s="4" t="inlineStr">
        <is>
          <t>Diário para semanal economiza ≈ 840 créditos por mês; só cabe onde o time não usa dado diário</t>
        </is>
      </c>
    </row>
    <row r="5">
      <c r="A5" s="4" t="inlineStr">
        <is>
          <t>iClips (notebook)</t>
        </is>
      </c>
      <c r="B5" s="4" t="inlineStr">
        <is>
          <t>A cada 4 horas desde 07/10</t>
        </is>
      </c>
      <c r="C5" s="4" t="inlineStr">
        <is>
          <t>Decisão da Diretoria</t>
        </is>
      </c>
      <c r="D5" s="4" t="inlineStr">
        <is>
          <t>8h ≈ −1.650; 12h ≈ −2.200; 1×/dia ≈ −2.750</t>
        </is>
      </c>
      <c r="E5" s="4" t="inlineStr">
        <is>
          <t>É 43% do consumo (≈ 3.300 por mês) por causa da cadeia de tratamento que dispara atrás</t>
        </is>
      </c>
    </row>
    <row r="6">
      <c r="A6" s="4" t="inlineStr">
        <is>
          <t>VJOB (MySQL) e Supabase</t>
        </is>
      </c>
      <c r="B6" s="4" t="inlineStr">
        <is>
          <t>Domingo 00:00 (MySQL); diária 01:00 (Supabase)</t>
        </is>
      </c>
      <c r="C6" s="4" t="inlineStr">
        <is>
          <t>Manter</t>
        </is>
      </c>
      <c r="D6" s="4" t="inlineStr">
        <is>
          <t>0</t>
        </is>
      </c>
      <c r="E6" s="4" t="inlineStr">
        <is>
          <t>Cadeia semanal do VJOB custa ≈ 93 por passada; as passadas manuais pesam</t>
        </is>
      </c>
    </row>
    <row r="7">
      <c r="A7" s="4" t="inlineStr">
        <is>
          <t>TikTok Ads e LinkedIn</t>
        </is>
      </c>
      <c r="B7" s="4" t="inlineStr">
        <is>
          <t>Sem fonte</t>
        </is>
      </c>
      <c r="C7" s="4" t="inlineStr">
        <is>
          <t>Semanal</t>
        </is>
      </c>
      <c r="D7" s="4" t="inlineStr">
        <is>
          <t>+30</t>
        </is>
      </c>
      <c r="E7" s="4" t="inlineStr">
        <is>
          <t>Mesma lógica de Meta e Google</t>
        </is>
      </c>
    </row>
    <row r="8">
      <c r="A8" s="4" t="inlineStr">
        <is>
          <t>TikTok orgânico e Google Meu Negócio</t>
        </is>
      </c>
      <c r="B8" s="4" t="inlineStr">
        <is>
          <t>Sem fonte (conectores tiktok e google-my-business existem)</t>
        </is>
      </c>
      <c r="C8" s="4" t="inlineStr">
        <is>
          <t>Semanal</t>
        </is>
      </c>
      <c r="D8" s="4" t="inlineStr">
        <is>
          <t>+4,35 por fonte; nº de fontes a definir</t>
        </is>
      </c>
      <c r="E8" s="4" t="inlineStr">
        <is>
          <t>Fora das 209 contas aplicáveis; créditos acima dos +287 do plano</t>
        </is>
      </c>
    </row>
    <row r="9">
      <c r="A9" s="4" t="inlineStr">
        <is>
          <t>Instagram e Páginas (26 fontes)</t>
        </is>
      </c>
      <c r="B9" s="4" t="inlineStr">
        <is>
          <t>Manuais</t>
        </is>
      </c>
      <c r="C9" s="4" t="inlineStr">
        <is>
          <t>Semanal (diário custa +761)</t>
        </is>
      </c>
      <c r="D9" s="4" t="inlineStr">
        <is>
          <t>+118</t>
        </is>
      </c>
      <c r="E9" s="4" t="inlineStr">
        <is>
          <t>Extração mínima hoje: 0 a 9 posts por conta; lista de contas exigidas não existe</t>
        </is>
      </c>
    </row>
    <row r="10">
      <c r="A10" s="4" t="inlineStr">
        <is>
          <t>GitHub, Z-API, Semrush, RH</t>
        </is>
      </c>
      <c r="B10" s="4" t="inlineStr">
        <is>
          <t>GitHub semanal; Z-API diária; os demais sem fonte funcional</t>
        </is>
      </c>
      <c r="C10" s="4" t="inlineStr">
        <is>
          <t>Semanal</t>
        </is>
      </c>
      <c r="D10" s="4" t="inlineStr">
        <is>
          <t>+13</t>
        </is>
      </c>
      <c r="E10" s="4" t="inlineStr">
        <is>
          <t>Só entram quando a fonte entregar dado</t>
        </is>
      </c>
    </row>
    <row r="12">
      <c r="A12" s="5" t="inlineStr">
        <is>
          <t>Cenário</t>
        </is>
      </c>
      <c r="B12" s="5" t="inlineStr">
        <is>
          <t>Créditos por mês</t>
        </is>
      </c>
      <c r="C12" s="5" t="inlineStr">
        <is>
          <t>% de 9.000</t>
        </is>
      </c>
      <c r="D12" s="5" t="n"/>
      <c r="E12" s="5" t="n"/>
    </row>
    <row r="13">
      <c r="A13" s="6" t="inlineStr">
        <is>
          <t>Sem manuais, regra "todas"</t>
        </is>
      </c>
      <c r="B13" s="7" t="n">
        <v>7888</v>
      </c>
      <c r="C13" s="8">
        <f>B13/9000</f>
        <v/>
      </c>
      <c r="D13" s="6" t="n"/>
      <c r="E13" s="6" t="n"/>
    </row>
    <row r="14">
      <c r="A14" s="6" t="inlineStr">
        <is>
          <t>300 manuais por mês, regra "todas"</t>
        </is>
      </c>
      <c r="B14" s="7" t="n">
        <v>8188</v>
      </c>
      <c r="C14" s="8">
        <f>B14/9000</f>
        <v/>
      </c>
      <c r="D14" s="6" t="n"/>
      <c r="E14" s="6" t="n"/>
    </row>
    <row r="15">
      <c r="A15" s="6" t="inlineStr">
        <is>
          <t>Ritmo de outubro (≈ 1.200 manuais), regra "todas"</t>
        </is>
      </c>
      <c r="B15" s="7" t="n">
        <v>9088</v>
      </c>
      <c r="C15" s="8">
        <f>B15/9000</f>
        <v/>
      </c>
      <c r="D15" s="6" t="n"/>
      <c r="E15" s="6" t="n"/>
    </row>
    <row r="16">
      <c r="A16" s="6" t="inlineStr">
        <is>
          <t>300 manuais, regra "qualquer"</t>
        </is>
      </c>
      <c r="B16" s="7" t="n">
        <v>8732</v>
      </c>
      <c r="C16" s="8">
        <f>B16/9000</f>
        <v/>
      </c>
      <c r="D16" s="6" t="n"/>
      <c r="E16" s="6" t="n"/>
    </row>
    <row r="17">
      <c r="A17" s="6" t="inlineStr">
        <is>
          <t>Ritmo de outubro, regra "qualquer"</t>
        </is>
      </c>
      <c r="B17" s="7" t="n">
        <v>9632</v>
      </c>
      <c r="C17" s="8">
        <f>B17/9000</f>
        <v/>
      </c>
      <c r="D17" s="6" t="n"/>
      <c r="E17" s="6" t="n"/>
    </row>
    <row r="18">
      <c r="A18" s="6" t="inlineStr">
        <is>
          <t>Sem manuais, notebook do iClips em 8h (derivado: 7.888 − 1.650)</t>
        </is>
      </c>
      <c r="B18" s="7" t="n">
        <v>6238</v>
      </c>
      <c r="C18" s="8">
        <f>B18/9000</f>
        <v/>
      </c>
      <c r="D18" s="6" t="n"/>
      <c r="E18" s="6" t="n"/>
    </row>
    <row r="20">
      <c r="A20" t="inlineStr">
        <is>
          <t>Regra do crédito: 1 por execução bem-sucedida de fonte, consulta, notebook, histórico ou destino; falha e carga inicial de fonte não são cobradas. O consumo real não é legível pelo token (nekt_runs inacessível): conferir em Billing.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44" customWidth="1" min="3" max="3"/>
    <col width="52" customWidth="1" min="4" max="4"/>
    <col width="40" customWidth="1" min="5" max="5"/>
    <col width="26" customWidth="1" min="6" max="6"/>
  </cols>
  <sheetData>
    <row r="1">
      <c r="A1" s="3" t="inlineStr">
        <is>
          <t>ID</t>
        </is>
      </c>
      <c r="B1" s="3" t="inlineStr">
        <is>
          <t>Critério ou indicador</t>
        </is>
      </c>
      <c r="C1" s="3" t="inlineStr">
        <is>
          <t>Regra ou valor de hoje</t>
        </is>
      </c>
      <c r="D1" s="3" t="inlineStr">
        <is>
          <t>Por quê ou meta</t>
        </is>
      </c>
      <c r="E1" s="3" t="inlineStr">
        <is>
          <t>Como medir</t>
        </is>
      </c>
      <c r="F1" s="3" t="inlineStr">
        <is>
          <t>Frequência</t>
        </is>
      </c>
    </row>
    <row r="2">
      <c r="A2" s="4" t="inlineStr">
        <is>
          <t>G1</t>
        </is>
      </c>
      <c r="B2" s="4" t="inlineStr">
        <is>
          <t>Camada própria por fonte, nome confirmado</t>
        </is>
      </c>
      <c r="C2" s="4" t="inlineStr"/>
      <c r="D2" s="4" t="inlineStr">
        <is>
          <t>R-001: o nome da camada é irreversível</t>
        </is>
      </c>
      <c r="E2" s="4" t="inlineStr"/>
      <c r="F2" s="4" t="inlineStr"/>
    </row>
    <row r="3">
      <c r="A3" s="4" t="inlineStr">
        <is>
          <t>G2</t>
        </is>
      </c>
      <c r="B3" s="4" t="inlineStr">
        <is>
          <t>Alerta de falha ligado</t>
        </is>
      </c>
      <c r="C3" s="4" t="inlineStr"/>
      <c r="D3" s="4" t="inlineStr">
        <is>
          <t>Falha sem alerta só aparece na varredura</t>
        </is>
      </c>
      <c r="E3" s="4" t="inlineStr"/>
      <c r="F3" s="4" t="inlineStr"/>
    </row>
    <row r="4">
      <c r="A4" s="4" t="inlineStr">
        <is>
          <t>G3</t>
        </is>
      </c>
      <c r="B4" s="4" t="inlineStr">
        <is>
          <t>Primeira execução agendada com sucesso</t>
        </is>
      </c>
      <c r="C4" s="4" t="inlineStr"/>
      <c r="D4" s="4" t="inlineStr">
        <is>
          <t>Sucesso de rascunho ou de disparo manual não prova a agenda</t>
        </is>
      </c>
      <c r="E4" s="4" t="inlineStr"/>
      <c r="F4" s="4" t="inlineStr"/>
    </row>
    <row r="5">
      <c r="A5" s="4" t="inlineStr">
        <is>
          <t>G4</t>
        </is>
      </c>
      <c r="B5" s="4" t="inlineStr">
        <is>
          <t>COUNT(*) maior que zero nas tabelas de dado, ou justificativa registrada</t>
        </is>
      </c>
      <c r="C5" s="4" t="inlineStr"/>
      <c r="D5" s="4" t="inlineStr">
        <is>
          <t>Sucesso não é dado: 7 fontes Meta tiveram sucesso com zero linha (conta sem veiculação)</t>
        </is>
      </c>
      <c r="E5" s="4" t="inlineStr"/>
      <c r="F5" s="4" t="inlineStr"/>
    </row>
    <row r="6">
      <c r="A6" s="4" t="inlineStr">
        <is>
          <t>G5</t>
        </is>
      </c>
      <c r="B6" s="4" t="inlineStr">
        <is>
          <t>Leitura conferida contra a plataforma: diferença de gasto ≤ 1% na janela fechada</t>
        </is>
      </c>
      <c r="C6" s="4" t="inlineStr"/>
      <c r="D6" s="4" t="inlineStr">
        <is>
          <t>Critério já aplicado em 68 contas Meta e 34 Google (maior diferença R$ 0,41 e R$ 1,49)</t>
        </is>
      </c>
      <c r="E6" s="4" t="inlineStr"/>
      <c r="F6" s="4" t="inlineStr"/>
    </row>
    <row r="7">
      <c r="A7" s="4" t="inlineStr">
        <is>
          <t>G6</t>
        </is>
      </c>
      <c r="B7" s="4" t="inlineStr">
        <is>
          <t>Consulta com LIMIT 0 sobre a união e esquema idêntico antes de somar à Trusted</t>
        </is>
      </c>
      <c r="C7" s="4" t="inlineStr"/>
      <c r="D7" s="4" t="inlineStr">
        <is>
          <t>Tabela catalogada e não materializada derruba a query inteira</t>
        </is>
      </c>
      <c r="E7" s="4" t="inlineStr"/>
      <c r="F7" s="4" t="inlineStr"/>
    </row>
    <row r="8">
      <c r="A8" s="4" t="inlineStr">
        <is>
          <t>G7</t>
        </is>
      </c>
      <c r="B8" s="4" t="inlineStr">
        <is>
          <t>Entrada nas listas que enumeram fontes (união, dimensão de contas, de campanhas)</t>
        </is>
      </c>
      <c r="C8" s="4" t="inlineStr"/>
      <c r="D8" s="4" t="inlineStr">
        <is>
          <t>Lição da Unipar: fonte que volta ou entra não aparece sozinha no consumo</t>
        </is>
      </c>
      <c r="E8" s="4" t="inlineStr"/>
      <c r="F8" s="4" t="inlineStr"/>
    </row>
    <row r="9">
      <c r="A9" s="4" t="inlineStr">
        <is>
          <t>G8</t>
        </is>
      </c>
      <c r="B9" s="4" t="inlineStr">
        <is>
          <t>Regras de qualidade da família conformes (bloqueantes em 100%)</t>
        </is>
      </c>
      <c r="C9" s="4" t="inlineStr"/>
      <c r="D9" s="4" t="inlineStr">
        <is>
          <t>Suítes de qualidade já publicadas: 18 suítes, 583 regras</t>
        </is>
      </c>
      <c r="E9" s="4" t="inlineStr"/>
      <c r="F9" s="4" t="inlineStr"/>
    </row>
    <row r="10">
      <c r="A10" s="4" t="inlineStr">
        <is>
          <t>I1</t>
        </is>
      </c>
      <c r="B10" s="4" t="inlineStr">
        <is>
          <t>Contas com leitura confirmada sobre aplicáveis</t>
        </is>
      </c>
      <c r="C10" s="4" t="inlineStr">
        <is>
          <t>159 de 209 (76,1%)</t>
        </is>
      </c>
      <c r="D10" s="4" t="inlineStr">
        <is>
          <t>100% em 04/11 (piso 97,6%)</t>
        </is>
      </c>
      <c r="E10" s="4" t="inlineStr">
        <is>
          <t>Planilha, aba Cobertura (fórmulas)</t>
        </is>
      </c>
      <c r="F10" s="4" t="inlineStr">
        <is>
          <t>Semanal</t>
        </is>
      </c>
    </row>
    <row r="11">
      <c r="A11" s="4" t="inlineStr">
        <is>
          <t>I2</t>
        </is>
      </c>
      <c r="B11" s="4" t="inlineStr">
        <is>
          <t>Contas com dado ativo</t>
        </is>
      </c>
      <c r="C11" s="4" t="inlineStr">
        <is>
          <t>131 de 209 (62,7%)</t>
        </is>
      </c>
      <c r="D11" s="4" t="inlineStr">
        <is>
          <t>Acompanhar; sem meta de 100%, pois conta sem veiculação é legítima</t>
        </is>
      </c>
      <c r="E11" s="4" t="inlineStr">
        <is>
          <t>Aba Contas, estado 1</t>
        </is>
      </c>
      <c r="F11" s="4" t="inlineStr">
        <is>
          <t>Semanal</t>
        </is>
      </c>
    </row>
    <row r="12">
      <c r="A12" s="4" t="inlineStr">
        <is>
          <t>I3</t>
        </is>
      </c>
      <c r="B12" s="4" t="inlineStr">
        <is>
          <t>Cobertura de gasto Meta (7 dias) e Google (30 dias)</t>
        </is>
      </c>
      <c r="C12" s="4" t="inlineStr">
        <is>
          <t>Meta 65,4%; Google 97,1%</t>
        </is>
      </c>
      <c r="D12" s="4" t="inlineStr">
        <is>
          <t>Meta ≥ 95% depois de M5 (proposta); Google manter</t>
        </is>
      </c>
      <c r="E12" s="4" t="inlineStr">
        <is>
          <t>MCC da Meta e do Google contra a Nekt</t>
        </is>
      </c>
      <c r="F12" s="4" t="inlineStr">
        <is>
          <t>Semanal</t>
        </is>
      </c>
    </row>
    <row r="13">
      <c r="A13" s="4" t="inlineStr">
        <is>
          <t>I4</t>
        </is>
      </c>
      <c r="B13" s="4" t="inlineStr">
        <is>
          <t>Fontes publicadas com última execução em sucesso</t>
        </is>
      </c>
      <c r="C13" s="4" t="inlineStr">
        <is>
          <t>235 de 252 (93,3%)</t>
        </is>
      </c>
      <c r="D13" s="4" t="inlineStr">
        <is>
          <t>≥ 95% depois de M5 (proposta); as falhas externas explicam o resto</t>
        </is>
      </c>
      <c r="E13" s="4" t="inlineStr">
        <is>
          <t>list_pipeline_runs por fonte</t>
        </is>
      </c>
      <c r="F13" s="4" t="inlineStr">
        <is>
          <t>Semanal</t>
        </is>
      </c>
    </row>
    <row r="14">
      <c r="A14" s="4" t="inlineStr">
        <is>
          <t>I5</t>
        </is>
      </c>
      <c r="B14" s="4" t="inlineStr">
        <is>
          <t>Fontes com 2 ou mais falhas seguidas</t>
        </is>
      </c>
      <c r="C14" s="4" t="inlineStr">
        <is>
          <t>4 com 3 ou mais e ainda ativas (xDLw, OJi6, qy0W, KUkx)</t>
        </is>
      </c>
      <c r="D14" s="4" t="inlineStr">
        <is>
          <t>0</t>
        </is>
      </c>
      <c r="E14" s="4" t="inlineStr">
        <is>
          <t>list_pipeline_runs</t>
        </is>
      </c>
      <c r="F14" s="4" t="inlineStr">
        <is>
          <t>Semanal (alerta em 2, crítico em 3)</t>
        </is>
      </c>
    </row>
    <row r="15">
      <c r="A15" s="4" t="inlineStr">
        <is>
          <t>I6</t>
        </is>
      </c>
      <c r="B15" s="4" t="inlineStr">
        <is>
          <t>Fontes desativadas pela regra das 3 falhas</t>
        </is>
      </c>
      <c r="C15" s="4" t="inlineStr">
        <is>
          <t>nenhuma por falha de Meta (as 3 inativas são Google, RD e Semrush)</t>
        </is>
      </c>
      <c r="D15" s="4" t="inlineStr">
        <is>
          <t>0</t>
        </is>
      </c>
      <c r="E15" s="4" t="inlineStr">
        <is>
          <t>list_resources</t>
        </is>
      </c>
      <c r="F15" s="4" t="inlineStr">
        <is>
          <t>Semanal</t>
        </is>
      </c>
    </row>
    <row r="16">
      <c r="A16" s="4" t="inlineStr">
        <is>
          <t>I7</t>
        </is>
      </c>
      <c r="B16" s="4" t="inlineStr">
        <is>
          <t>Regras de qualidade conformes</t>
        </is>
      </c>
      <c r="C16" s="4" t="inlineStr">
        <is>
          <t>583 de 583</t>
        </is>
      </c>
      <c r="D16" s="4" t="inlineStr">
        <is>
          <t>100% das bloqueantes</t>
        </is>
      </c>
      <c r="E16" s="4" t="inlineStr">
        <is>
          <t>Tabelas das 18 suítes</t>
        </is>
      </c>
      <c r="F16" s="4" t="inlineStr">
        <is>
          <t>Diária e semanal, conforme a suíte</t>
        </is>
      </c>
    </row>
    <row r="17">
      <c r="A17" s="4" t="inlineStr">
        <is>
          <t>I8</t>
        </is>
      </c>
      <c r="B17" s="4" t="inlineStr">
        <is>
          <t>Maior diferença Nekt × plataforma por conta</t>
        </is>
      </c>
      <c r="C17" s="4" t="inlineStr">
        <is>
          <t>Meta R$ 0,41; Google R$ 1,49</t>
        </is>
      </c>
      <c r="D17" s="4" t="inlineStr">
        <is>
          <t>≤ 1% por conta</t>
        </is>
      </c>
      <c r="E17" s="4" t="inlineStr">
        <is>
          <t>Comparação conta a conta</t>
        </is>
      </c>
      <c r="F17" s="4" t="inlineStr">
        <is>
          <t>Contas novas, na semana da entrada</t>
        </is>
      </c>
    </row>
    <row r="18">
      <c r="A18" s="4" t="inlineStr">
        <is>
          <t>I9</t>
        </is>
      </c>
      <c r="B18" s="4" t="inlineStr">
        <is>
          <t>Frescor do dado</t>
        </is>
      </c>
      <c r="C18" s="4" t="inlineStr">
        <is>
          <t>Semanais: última terça; diárias: dia da carga</t>
        </is>
      </c>
      <c r="D18" s="4" t="inlineStr">
        <is>
          <t>≤ 8 dias (semanais) e ≤ 2 dias (diárias) — proposta</t>
        </is>
      </c>
      <c r="E18" s="4" t="inlineStr">
        <is>
          <t>MAX(data) por tabela de insight</t>
        </is>
      </c>
      <c r="F18" s="4" t="inlineStr">
        <is>
          <t>Semanal</t>
        </is>
      </c>
    </row>
    <row r="19">
      <c r="A19" s="4" t="inlineStr">
        <is>
          <t>I10</t>
        </is>
      </c>
      <c r="B19" s="4" t="inlineStr">
        <is>
          <t>Execuções manuais</t>
        </is>
      </c>
      <c r="C19" s="4" t="inlineStr">
        <is>
          <t>≈ 1.200 créditos manuais em outubro (estimado)</t>
        </is>
      </c>
      <c r="D19" s="4" t="inlineStr">
        <is>
          <t>≤ 75 por semana (≈ 300 por mês) — proposta</t>
        </is>
      </c>
      <c r="E19" s="4" t="inlineStr">
        <is>
          <t>Histórico de execução (manual × agendado só por horário)</t>
        </is>
      </c>
      <c r="F19" s="4" t="inlineStr">
        <is>
          <t>Semanal</t>
        </is>
      </c>
    </row>
    <row r="20">
      <c r="A20" s="4" t="inlineStr">
        <is>
          <t>I11</t>
        </is>
      </c>
      <c r="B20" s="4" t="inlineStr">
        <is>
          <t>Créditos do mês contra 9.000</t>
        </is>
      </c>
      <c r="C20" s="4" t="inlineStr">
        <is>
          <t>Não legível pelo token; projeção 7.888 (87,6%) sem manuais</t>
        </is>
      </c>
      <c r="D20" s="4" t="inlineStr">
        <is>
          <t>Abaixo de 90% antes dos manuais</t>
        </is>
      </c>
      <c r="E20" s="4" t="inlineStr">
        <is>
          <t>Billing da Nekt (leitura manual)</t>
        </is>
      </c>
      <c r="F20" s="4" t="inlineStr">
        <is>
          <t>Semanal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11" customWidth="1" min="5" max="5"/>
    <col width="2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>
      <c r="A1" s="3" t="inlineStr">
        <is>
          <t>Semana (quarta)</t>
        </is>
      </c>
      <c r="B1" s="3" t="inlineStr">
        <is>
          <t>Meta de contas com leitura confirmada</t>
        </is>
      </c>
      <c r="C1" s="3" t="inlineStr">
        <is>
          <t>Medido</t>
        </is>
      </c>
      <c r="D1" s="3" t="inlineStr">
        <is>
          <t>% medido</t>
        </is>
      </c>
      <c r="E1" s="3" t="inlineStr">
        <is>
          <t>Aplicáveis</t>
        </is>
      </c>
      <c r="F1" s="3" t="inlineStr">
        <is>
          <t>Fontes com sucesso na última execução</t>
        </is>
      </c>
      <c r="G1" s="3" t="inlineStr">
        <is>
          <t>Fontes publicadas</t>
        </is>
      </c>
      <c r="H1" s="3" t="inlineStr">
        <is>
          <t>% sucesso</t>
        </is>
      </c>
      <c r="I1" s="3" t="inlineStr">
        <is>
          <t>Regras conformes</t>
        </is>
      </c>
      <c r="J1" s="3" t="inlineStr">
        <is>
          <t>Regras totais</t>
        </is>
      </c>
      <c r="K1" s="3" t="inlineStr">
        <is>
          <t>Fontes com 2+ falhas</t>
        </is>
      </c>
      <c r="L1" s="3" t="inlineStr">
        <is>
          <t>Fontes desativadas</t>
        </is>
      </c>
      <c r="M1" s="3" t="inlineStr">
        <is>
          <t>Execuções manuais</t>
        </is>
      </c>
      <c r="N1" s="3" t="inlineStr">
        <is>
          <t>Créditos (Billing)</t>
        </is>
      </c>
      <c r="O1" s="3" t="inlineStr">
        <is>
          <t>Marcos cumpridos</t>
        </is>
      </c>
      <c r="P1" s="3" t="inlineStr">
        <is>
          <t>Marcos atrasados</t>
        </is>
      </c>
      <c r="Q1" s="3" t="inlineStr">
        <is>
          <t>Observações</t>
        </is>
      </c>
    </row>
    <row r="2">
      <c r="A2" s="4" t="inlineStr">
        <is>
          <t>16/10 (linha de base)</t>
        </is>
      </c>
      <c r="B2" s="4" t="n">
        <v>159</v>
      </c>
      <c r="C2" s="4" t="n">
        <v>159</v>
      </c>
      <c r="D2" s="9">
        <f>IF(C2="","",C2/E2)</f>
        <v/>
      </c>
      <c r="E2" s="4" t="n">
        <v>209</v>
      </c>
      <c r="F2" s="4" t="n">
        <v>235</v>
      </c>
      <c r="G2" s="4" t="n">
        <v>252</v>
      </c>
      <c r="H2" s="9">
        <f>IF(OR(F2="",G2=""),"",F2/G2)</f>
        <v/>
      </c>
      <c r="I2" s="4" t="n">
        <v>583</v>
      </c>
      <c r="J2" s="4" t="n">
        <v>583</v>
      </c>
      <c r="K2" s="4" t="n">
        <v>4</v>
      </c>
      <c r="L2" s="4" t="n">
        <v>0</v>
      </c>
      <c r="M2" s="4" t="n"/>
      <c r="N2" s="4" t="n"/>
      <c r="O2" s="4" t="inlineStr">
        <is>
          <t>M0</t>
        </is>
      </c>
      <c r="P2" s="4" t="inlineStr"/>
      <c r="Q2" s="4" t="inlineStr">
        <is>
          <t>Linha de base do relatório #1749</t>
        </is>
      </c>
    </row>
    <row r="3">
      <c r="A3" s="4" t="inlineStr">
        <is>
          <t>21/10 (após a terça de 20/10)</t>
        </is>
      </c>
      <c r="B3" s="4" t="n">
        <v>159</v>
      </c>
      <c r="C3" s="4" t="n"/>
      <c r="D3" s="9">
        <f>IF(C3="","",C3/E3)</f>
        <v/>
      </c>
      <c r="E3" s="4" t="n">
        <v>209</v>
      </c>
      <c r="F3" s="4" t="n"/>
      <c r="G3" s="4" t="n"/>
      <c r="H3" s="9">
        <f>IF(OR(F3="",G3=""),"",F3/G3)</f>
        <v/>
      </c>
      <c r="I3" s="4" t="n"/>
      <c r="J3" s="4" t="n"/>
      <c r="K3" s="4" t="n"/>
      <c r="L3" s="4" t="n"/>
      <c r="M3" s="4" t="n"/>
      <c r="N3" s="4" t="n"/>
      <c r="O3" s="4" t="inlineStr"/>
      <c r="P3" s="4" t="inlineStr"/>
      <c r="Q3" s="4" t="inlineStr"/>
    </row>
    <row r="4">
      <c r="A4" s="4" t="inlineStr">
        <is>
          <t>28/10 (após a terça de 27/10)</t>
        </is>
      </c>
      <c r="B4" s="4" t="n">
        <v>195</v>
      </c>
      <c r="C4" s="4" t="n"/>
      <c r="D4" s="9">
        <f>IF(C4="","",C4/E4)</f>
        <v/>
      </c>
      <c r="E4" s="4" t="n">
        <v>209</v>
      </c>
      <c r="F4" s="4" t="n"/>
      <c r="G4" s="4" t="n"/>
      <c r="H4" s="9">
        <f>IF(OR(F4="",G4=""),"",F4/G4)</f>
        <v/>
      </c>
      <c r="I4" s="4" t="n"/>
      <c r="J4" s="4" t="n"/>
      <c r="K4" s="4" t="n"/>
      <c r="L4" s="4" t="n"/>
      <c r="M4" s="4" t="n"/>
      <c r="N4" s="4" t="n"/>
      <c r="O4" s="4" t="inlineStr"/>
      <c r="P4" s="4" t="inlineStr"/>
      <c r="Q4" s="4" t="inlineStr"/>
    </row>
    <row r="5">
      <c r="A5" s="4" t="inlineStr">
        <is>
          <t>04/11 (fechamento)</t>
        </is>
      </c>
      <c r="B5" s="4" t="n">
        <v>209</v>
      </c>
      <c r="C5" s="4" t="n"/>
      <c r="D5" s="9">
        <f>IF(C5="","",C5/E5)</f>
        <v/>
      </c>
      <c r="E5" s="4" t="n">
        <v>209</v>
      </c>
      <c r="F5" s="4" t="n"/>
      <c r="G5" s="4" t="n"/>
      <c r="H5" s="9">
        <f>IF(OR(F5="",G5=""),"",F5/G5)</f>
        <v/>
      </c>
      <c r="I5" s="4" t="n"/>
      <c r="J5" s="4" t="n"/>
      <c r="K5" s="4" t="n"/>
      <c r="L5" s="4" t="n"/>
      <c r="M5" s="4" t="n"/>
      <c r="N5" s="4" t="n"/>
      <c r="O5" s="4" t="inlineStr"/>
      <c r="P5" s="4" t="inlineStr"/>
      <c r="Q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4" customWidth="1" min="2" max="2"/>
    <col width="60" customWidth="1" min="3" max="3"/>
  </cols>
  <sheetData>
    <row r="1">
      <c r="A1" s="3" t="inlineStr">
        <is>
          <t>Risco ou premissa</t>
        </is>
      </c>
      <c r="B1" s="3" t="inlineStr">
        <is>
          <t>Consequência</t>
        </is>
      </c>
      <c r="C1" s="3" t="inlineStr">
        <is>
          <t>Mitigação</t>
        </is>
      </c>
    </row>
    <row r="2">
      <c r="A2" s="4" t="inlineStr">
        <is>
          <t>Google v2.53 não reautorizado até 23/10</t>
        </is>
      </c>
      <c r="B2" s="4" t="inlineStr">
        <is>
          <t>Extração das 43 fontes pode parar; o comportamento depois do prazo não foi testado</t>
        </is>
      </c>
      <c r="C2" s="4" t="inlineStr">
        <is>
          <t>F01; Admin do MCC nomeado até 21/10</t>
        </is>
      </c>
    </row>
    <row r="3">
      <c r="A3" s="4" t="inlineStr">
        <is>
          <t>Meta 403 sem atribuição até 27/10</t>
        </is>
      </c>
      <c r="B3" s="4" t="inlineStr">
        <is>
          <t>A fonte é desativada na terceira falha seguida</t>
        </is>
      </c>
      <c r="C3" s="4" t="inlineStr">
        <is>
          <t>F02; atribuição até 20/10; se não, arquivar as contas que saírem do escopo</t>
        </is>
      </c>
    </row>
    <row r="4">
      <c r="A4" s="4" t="inlineStr">
        <is>
          <t>Cota compartilhada do Google</t>
        </is>
      </c>
      <c r="B4" s="4" t="inlineStr">
        <is>
          <t>Disparo manual em massa gera 429 e uma falha por fonte</t>
        </is>
      </c>
      <c r="C4" s="4" t="inlineStr">
        <is>
          <t>Disparar uma fonte por vez, com intervalo</t>
        </is>
      </c>
    </row>
    <row r="5">
      <c r="A5" s="4" t="inlineStr">
        <is>
          <t>Créditos acima de 90%</t>
        </is>
      </c>
      <c r="B5" s="4" t="inlineStr">
        <is>
          <t>Plano termina em 91% com 300 manuais e 101% no ritmo de outubro</t>
        </is>
      </c>
      <c r="C5" s="4" t="inlineStr">
        <is>
          <t>Decisão F14; regra "todas" na Trusted de Facebook</t>
        </is>
      </c>
    </row>
    <row r="6">
      <c r="A6" s="4" t="inlineStr">
        <is>
          <t>Dependência de terceiros</t>
        </is>
      </c>
      <c r="B6" s="4" t="inlineStr">
        <is>
          <t>28 OAuth, 7 IDs de TikTok e LinkedIn e 3 de Google dependem de pessoas fora da equipe de dados</t>
        </is>
      </c>
      <c r="C6" s="4" t="inlineStr">
        <is>
          <t>Pedidos enviados em M2; cada atraso move a data final</t>
        </is>
      </c>
    </row>
    <row r="7">
      <c r="A7" s="4" t="inlineStr">
        <is>
          <t>Premissas sem confirmação</t>
        </is>
      </c>
      <c r="B7" s="4" t="inlineStr">
        <is>
          <t>CDL, Dr. Cabral (duplicidade), Santo Remédio antigo e Meta f6h8/geQA</t>
        </is>
      </c>
      <c r="C7" s="4" t="inlineStr">
        <is>
          <t>Confirmar até 21/10; o piso de 97,6% já considera CDL e 3 contas Google fora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2026-10-16T16:57:18Z</dcterms:created>
  <dcterms:modified xsi:type="dcterms:W3CDTF">2026-10-16T16:57:18Z</dcterms:modified>
</cp:coreProperties>
</file>