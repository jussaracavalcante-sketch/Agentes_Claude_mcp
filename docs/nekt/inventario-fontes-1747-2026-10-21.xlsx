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Contas" sheetId="2" state="visible" r:id="rId2"/>
    <sheet name="Cobertura" sheetId="3" state="visible" r:id="rId3"/>
    <sheet name="Instagram e Páginas" sheetId="4" state="visible" r:id="rId4"/>
    <sheet name="Sistemas internos" sheetId="5" state="visible" r:id="rId5"/>
    <sheet name="Impedimentos" sheetId="6" state="visible" r:id="rId6"/>
    <sheet name="Créditos por etapa" sheetId="7" state="visible" r:id="rId7"/>
    <sheet name="Cronograma por etapa" sheetId="8" state="visible" r:id="rId8"/>
    <sheet name="Validação do modelo" sheetId="9" state="visible" r:id="rId9"/>
    <sheet name="Evidências" sheetId="10" state="visible" r:id="rId10"/>
    <sheet name="Perguntas e respostas" sheetId="11" state="visible" r:id="rId11"/>
  </sheets>
  <definedNames>
    <definedName name="_xlnm._FilterDatabase" localSheetId="1" hidden="1">'Contas'!$A$1:$S$243</definedName>
    <definedName name="_xlnm._FilterDatabase" localSheetId="3" hidden="1">'Instagram e Páginas'!$A$1:$M$27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2430"/>
      </patternFill>
    </fill>
  </fills>
  <borders count="2">
    <border>
      <left/>
      <right/>
      <top/>
      <bottom/>
      <diagonal/>
    </border>
    <border>
      <bottom style="thin">
        <color rgb="00D9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Inventário das fontes de dados da Nekt — tarefa #1747</t>
        </is>
      </c>
    </row>
    <row r="2">
      <c r="A2" s="2" t="inlineStr">
        <is>
          <t>Posição de 21/10/2026 (refaz o inventário de 16/10). Escopo: planilha oficial de contas de 16/10, sem mudança. Medido hoje: gasto da Meta (13–19/10, 286 contas relidas), gasto da Nekt no Google (13/09–12/10), linhas e último dado de Meta, Google e RD, varredura de fontes e suítes de qualidade. NÃO refeito hoje: a referência de gasto do Google na plataforma (MCC de 16/10; a ferramenta de consulta não estava conectada), o gasto em dólar e euro, e a leitura das 48 fontes novas de Instagram e Páginas. Somente leitura.</t>
        </is>
      </c>
    </row>
    <row r="3">
      <c r="A3" s="2" t="inlineStr"/>
    </row>
    <row r="4">
      <c r="A4" s="3" t="inlineStr">
        <is>
          <t>RESULTADO</t>
        </is>
      </c>
    </row>
    <row r="5">
      <c r="A5" s="2" t="inlineStr">
        <is>
          <t>Cobertura real: 159 de 209 contas aplicáveis com leitura confirmada (76,1%); 130 com dado ativo (62,2%); 161 conectadas (77,0%).</t>
        </is>
      </c>
    </row>
    <row r="6">
      <c r="A6" s="2" t="inlineStr">
        <is>
          <t>Cobertura por gasto: Meta 64,5% (13–19/10, reais); Google 97,1% (30 dias, reais, sem a Nova Era e sem os ex-clientes e inativos; com eles no denominador o número é menor, ver aba Cobertura).</t>
        </is>
      </c>
    </row>
    <row r="7">
      <c r="A7" s="2" t="inlineStr">
        <is>
          <t>Saneamento da base: 1.483 de 1.485 regras de qualidade conformes (99,9%; 37 suítes; 1 alerta e 1 bloqueante, explicados no relatório). É outra medida: não diz nada sobre contas que ainda não chegaram.</t>
        </is>
      </c>
    </row>
    <row r="8">
      <c r="A8" s="2" t="inlineStr"/>
    </row>
    <row r="9">
      <c r="A9" s="3" t="inlineStr">
        <is>
          <t>DEFINIÇÕES (as cinco medidas)</t>
        </is>
      </c>
    </row>
    <row r="10">
      <c r="A10" s="2" t="inlineStr">
        <is>
          <t>Saneamento da base: Quanto do dado que JÁ chegou passa nos testes de qualidade (tipos, duplicidade, fuso, integridade).  →  1.483 de 1.485 regras conformes (99,9%) nas 37 suítes, lidas em 21/10.  |  Limite: Não diz nada sobre contas que ainda não chegaram. É por isso que 99,9% de saneamento convive com cobertura de leitura de 76%.</t>
        </is>
      </c>
    </row>
    <row r="11">
      <c r="A11" s="2" t="inlineStr">
        <is>
          <t>Conectada: A fonte está publicada na Nekt e a última execução terminou com sucesso.  →  161 de 209 contas (77,0%).  |  Limite: Sucesso de execução não prova dado: há fontes com sucesso e zero linhas.</t>
        </is>
      </c>
    </row>
    <row r="12">
      <c r="A12" s="2" t="inlineStr">
        <is>
          <t>Leitura confirmada: Conectada E o que a Nekt leu bate com a plataforma (Meta e Google) ou há dado presente (RD).  →  159 de 209 contas (76,1%).  |  Limite: Inclui contas sem veiculação, cuja leitura correta é zero. No RD não existe referência independente: vale "dado presente".</t>
        </is>
      </c>
    </row>
    <row r="13">
      <c r="A13" s="2" t="inlineStr">
        <is>
          <t>Dado ativo: Leitura confirmada E dado recente (Meta até 30/09, Google até 28/09, RD até 15/09).  →  130 de 209 contas (62,2%).  |  Limite: É o piso: a visão mais exigente.</t>
        </is>
      </c>
    </row>
    <row r="14">
      <c r="A14" s="2" t="inlineStr">
        <is>
          <t>Cobertura por gasto: Quanto do investimento da plataforma está em contas que a Nekt lê.  →  Meta 64,5% (7 dias); Google 97,1% (30 dias, sem Nova Era, ex-clientes e inativos).  |  Limite: É a medida que mais pesa para o negócio. Só vale para Meta e Google em reais.</t>
        </is>
      </c>
    </row>
    <row r="15">
      <c r="A15" s="2" t="inlineStr"/>
    </row>
    <row r="16">
      <c r="A16" s="3" t="inlineStr">
        <is>
          <t>COMO RECONTAR</t>
        </is>
      </c>
    </row>
    <row r="17">
      <c r="A17" s="2" t="inlineStr">
        <is>
          <t>A aba Cobertura usa fórmulas COUNTIFS sobre a aba Contas. Filtre a coluna Estado na aba Contas para ver cada conta.</t>
        </is>
      </c>
    </row>
    <row r="18">
      <c r="A18" s="2" t="inlineStr">
        <is>
          <t>As abas Evidências e Perguntas dizem como cada número foi medido e o que não foi medido.</t>
        </is>
      </c>
    </row>
    <row r="19">
      <c r="A19" s="2" t="inlineStr"/>
    </row>
    <row r="20">
      <c r="A20" s="3" t="inlineStr">
        <is>
          <t>DECISÕES QUE PEDIMOS À DIRETORIA</t>
        </is>
      </c>
    </row>
    <row r="21">
      <c r="A21" s="2" t="inlineStr">
        <is>
          <t>1. Nomear o administrador do MCC Google Ads (único sem nome; o do Business Manager Meta é João Araújo e Facebook/Instagram é Gabriela Bezerra). Sem esse nome, os bloqueios P1 do Google não têm dono.</t>
        </is>
      </c>
    </row>
    <row r="22">
      <c r="A22" s="2" t="inlineStr">
        <is>
          <t>2. Definir a política de disparo manual e a cadência do notebook do iClips. Isso decide se a expansão cabe nos 9.000 créditos.</t>
        </is>
      </c>
    </row>
    <row r="23">
      <c r="A23" s="2" t="inlineStr">
        <is>
          <t>3. Pedir ao administrador do MCC o desvínculo ou a pausa das 11 contas Google de ex-clientes e inativos (Nova Era, UIARA, Pátio Gourmet, Olá Casa Nova, Hope Bay Park, Julia Herrera: R$ 46.430,03 em 30 dias) e decidir sobre a conta própria da Vanguarda.</t>
        </is>
      </c>
    </row>
    <row r="24">
      <c r="A24" s="2" t="inlineStr">
        <is>
          <t>4. Definir a lista de contas de Instagram e de Páginas que a agência exige, e a cadência dessas fontes.</t>
        </is>
      </c>
    </row>
    <row r="25">
      <c r="A25" s="2" t="inlineStr">
        <is>
          <t>5. Autorizar o arquivamento, na interface da Nekt (o MCP não arquiva), das fontes duplicadas de RD (1eaJ e bjQx) e das fontes dos ex-clientes ainda publicadas.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26" customWidth="1" min="4" max="4"/>
    <col width="19" customWidth="1" min="5" max="5"/>
    <col width="32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  <col width="7" customWidth="1" min="12" max="12"/>
    <col width="15" customWidth="1" min="13" max="13"/>
    <col width="44" customWidth="1" min="14" max="14"/>
    <col width="28" customWidth="1" min="15" max="15"/>
    <col width="9" customWidth="1" min="16" max="16"/>
    <col width="34" customWidth="1" min="17" max="17"/>
    <col width="12" customWidth="1" min="18" max="18"/>
    <col width="40" customWidth="1" min="19" max="19"/>
  </cols>
  <sheetData>
    <row r="1">
      <c r="A1" s="4" t="inlineStr">
        <is>
          <t>Plataforma</t>
        </is>
      </c>
      <c r="B1" s="4" t="inlineStr">
        <is>
          <t>Cliente</t>
        </is>
      </c>
      <c r="C1" s="4" t="inlineStr">
        <is>
          <t>ID da conta</t>
        </is>
      </c>
      <c r="D1" s="4" t="inlineStr">
        <is>
          <t>Nome na plataforma</t>
        </is>
      </c>
      <c r="E1" s="4" t="inlineStr">
        <is>
          <t>Fonte na Nekt</t>
        </is>
      </c>
      <c r="F1" s="4" t="inlineStr">
        <is>
          <t>Estado</t>
        </is>
      </c>
      <c r="G1" s="4" t="inlineStr">
        <is>
          <t>Linhas medidas (Nekt)</t>
        </is>
      </c>
      <c r="H1" s="4" t="inlineStr">
        <is>
          <t>Último dado</t>
        </is>
      </c>
      <c r="I1" s="4" t="inlineStr">
        <is>
          <t>Medido na Nekt (janela; no RD = nº de conversões)</t>
        </is>
      </c>
      <c r="J1" s="4" t="inlineStr">
        <is>
          <t>Medido na plataforma (janela)</t>
        </is>
      </c>
      <c r="K1" s="4" t="inlineStr">
        <is>
          <t>Diferença Nekt − plataforma</t>
        </is>
      </c>
      <c r="L1" s="4" t="inlineStr">
        <is>
          <t>Moeda</t>
        </is>
      </c>
      <c r="M1" s="4" t="inlineStr">
        <is>
          <t>Janela</t>
        </is>
      </c>
      <c r="N1" s="4" t="inlineStr">
        <is>
          <t>Impedimento</t>
        </is>
      </c>
      <c r="O1" s="4" t="inlineStr">
        <is>
          <t>Responsável (a confirmar)</t>
        </is>
      </c>
      <c r="P1" s="4" t="inlineStr">
        <is>
          <t>Prioridade</t>
        </is>
      </c>
      <c r="Q1" s="4" t="inlineStr">
        <is>
          <t>Etapa</t>
        </is>
      </c>
      <c r="R1" s="4" t="inlineStr">
        <is>
          <t>Previsão (proposta)</t>
        </is>
      </c>
      <c r="S1" s="4" t="inlineStr">
        <is>
          <t>Observação</t>
        </is>
      </c>
    </row>
    <row r="2">
      <c r="A2" s="5" t="inlineStr">
        <is>
          <t>Google Ads</t>
        </is>
      </c>
      <c r="B2" s="5" t="inlineStr">
        <is>
          <t>ACESSO SAÚDE</t>
        </is>
      </c>
      <c r="C2" s="5" t="inlineStr">
        <is>
          <t>175-244-3056</t>
        </is>
      </c>
      <c r="D2" s="5" t="inlineStr">
        <is>
          <t>ACESSO SAÚDE</t>
        </is>
      </c>
      <c r="E2" s="5" t="inlineStr">
        <is>
          <t>google-ads-cwt3</t>
        </is>
      </c>
      <c r="F2" s="5" t="inlineStr">
        <is>
          <t>1 Funcional — dado ativo</t>
        </is>
      </c>
      <c r="G2" s="5" t="n">
        <v>6018</v>
      </c>
      <c r="H2" s="5" t="inlineStr">
        <is>
          <t>2026-10-19</t>
        </is>
      </c>
      <c r="I2" s="5" t="n">
        <v>2207.23</v>
      </c>
      <c r="J2" s="5" t="n">
        <v>2207.23</v>
      </c>
      <c r="K2" s="5" t="n">
        <v>0</v>
      </c>
      <c r="L2" s="5" t="inlineStr">
        <is>
          <t>BRL</t>
        </is>
      </c>
      <c r="M2" s="5" t="inlineStr">
        <is>
          <t>gasto 13/09-12/10</t>
        </is>
      </c>
      <c r="N2" s="5" t="inlineStr"/>
      <c r="O2" s="5" t="inlineStr">
        <is>
          <t>Administrador do MCC Google Ads 170-443-9246 (a confirmar)</t>
        </is>
      </c>
      <c r="P2" s="5" t="inlineStr"/>
      <c r="Q2" s="5" t="inlineStr">
        <is>
          <t>E1 reautorizar conector v2.53 ate 23/10</t>
        </is>
      </c>
      <c r="R2" s="5" t="inlineStr">
        <is>
          <t>2026-10-23</t>
        </is>
      </c>
      <c r="S2" s="5" t="inlineStr"/>
    </row>
    <row r="3">
      <c r="A3" s="5" t="inlineStr">
        <is>
          <t>Google Ads</t>
        </is>
      </c>
      <c r="B3" s="5" t="inlineStr">
        <is>
          <t>AMZ GERADORES</t>
        </is>
      </c>
      <c r="C3" s="5" t="inlineStr">
        <is>
          <t>339-788-6954</t>
        </is>
      </c>
      <c r="D3" s="5" t="inlineStr">
        <is>
          <t>AMZ Geradores</t>
        </is>
      </c>
      <c r="E3" s="5" t="inlineStr">
        <is>
          <t>google-ads-ZcMG</t>
        </is>
      </c>
      <c r="F3" s="5" t="inlineStr">
        <is>
          <t>1 Funcional — dado ativo</t>
        </is>
      </c>
      <c r="G3" s="5" t="n">
        <v>633</v>
      </c>
      <c r="H3" s="5" t="inlineStr">
        <is>
          <t>2026-10-19</t>
        </is>
      </c>
      <c r="I3" s="5" t="n">
        <v>1640.45</v>
      </c>
      <c r="J3" s="5" t="n">
        <v>1640.45</v>
      </c>
      <c r="K3" s="5" t="n">
        <v>0</v>
      </c>
      <c r="L3" s="5" t="inlineStr">
        <is>
          <t>BRL</t>
        </is>
      </c>
      <c r="M3" s="5" t="inlineStr">
        <is>
          <t>gasto 13/09-12/10</t>
        </is>
      </c>
      <c r="N3" s="5" t="inlineStr"/>
      <c r="O3" s="5" t="inlineStr">
        <is>
          <t>Administrador do MCC Google Ads 170-443-9246 (a confirmar)</t>
        </is>
      </c>
      <c r="P3" s="5" t="inlineStr"/>
      <c r="Q3" s="5" t="inlineStr">
        <is>
          <t>E1 reautorizar conector v2.53 ate 23/10</t>
        </is>
      </c>
      <c r="R3" s="5" t="inlineStr">
        <is>
          <t>2026-10-23</t>
        </is>
      </c>
      <c r="S3" s="5" t="inlineStr"/>
    </row>
    <row r="4">
      <c r="A4" s="5" t="inlineStr">
        <is>
          <t>Google Ads</t>
        </is>
      </c>
      <c r="B4" s="5" t="inlineStr">
        <is>
          <t>ARENA TINTAS</t>
        </is>
      </c>
      <c r="C4" s="5" t="inlineStr">
        <is>
          <t>315-247-9850</t>
        </is>
      </c>
      <c r="D4" s="5" t="inlineStr">
        <is>
          <t>Arena Tintas</t>
        </is>
      </c>
      <c r="E4" s="5" t="inlineStr">
        <is>
          <t>google-ads-x36N</t>
        </is>
      </c>
      <c r="F4" s="5" t="inlineStr">
        <is>
          <t>1 Funcional — dado ativo</t>
        </is>
      </c>
      <c r="G4" s="5" t="n">
        <v>2379</v>
      </c>
      <c r="H4" s="5" t="inlineStr">
        <is>
          <t>2026-10-19</t>
        </is>
      </c>
      <c r="I4" s="5" t="n">
        <v>3553.33</v>
      </c>
      <c r="J4" s="5" t="n">
        <v>3553.33</v>
      </c>
      <c r="K4" s="5" t="n">
        <v>0</v>
      </c>
      <c r="L4" s="5" t="inlineStr">
        <is>
          <t>BRL</t>
        </is>
      </c>
      <c r="M4" s="5" t="inlineStr">
        <is>
          <t>gasto 13/09-12/10</t>
        </is>
      </c>
      <c r="N4" s="5" t="inlineStr"/>
      <c r="O4" s="5" t="inlineStr">
        <is>
          <t>Administrador do MCC Google Ads 170-443-9246 (a confirmar)</t>
        </is>
      </c>
      <c r="P4" s="5" t="inlineStr"/>
      <c r="Q4" s="5" t="inlineStr">
        <is>
          <t>E1 reautorizar conector v2.53 ate 23/10</t>
        </is>
      </c>
      <c r="R4" s="5" t="inlineStr">
        <is>
          <t>2026-10-23</t>
        </is>
      </c>
      <c r="S4" s="5" t="inlineStr"/>
    </row>
    <row r="5">
      <c r="A5" s="5" t="inlineStr">
        <is>
          <t>Google Ads</t>
        </is>
      </c>
      <c r="B5" s="5" t="inlineStr">
        <is>
          <t>BA ELÉTRICA</t>
        </is>
      </c>
      <c r="C5" s="5" t="inlineStr">
        <is>
          <t>374-652-9772</t>
        </is>
      </c>
      <c r="D5" s="5" t="inlineStr">
        <is>
          <t>CA - BA Elétrica</t>
        </is>
      </c>
      <c r="E5" s="5" t="inlineStr">
        <is>
          <t>google-ads-WxA8</t>
        </is>
      </c>
      <c r="F5" s="5" t="inlineStr">
        <is>
          <t>1 Funcional — dado ativo</t>
        </is>
      </c>
      <c r="G5" s="5" t="n">
        <v>1798</v>
      </c>
      <c r="H5" s="5" t="inlineStr">
        <is>
          <t>2026-10-19</t>
        </is>
      </c>
      <c r="I5" s="5" t="n">
        <v>1574.34</v>
      </c>
      <c r="J5" s="5" t="n">
        <v>1574.34</v>
      </c>
      <c r="K5" s="5" t="n">
        <v>0</v>
      </c>
      <c r="L5" s="5" t="inlineStr">
        <is>
          <t>BRL</t>
        </is>
      </c>
      <c r="M5" s="5" t="inlineStr">
        <is>
          <t>gasto 13/09-12/10</t>
        </is>
      </c>
      <c r="N5" s="5" t="inlineStr"/>
      <c r="O5" s="5" t="inlineStr">
        <is>
          <t>Administrador do MCC Google Ads 170-443-9246 (a confirmar)</t>
        </is>
      </c>
      <c r="P5" s="5" t="inlineStr"/>
      <c r="Q5" s="5" t="inlineStr">
        <is>
          <t>E1 reautorizar conector v2.53 ate 23/10</t>
        </is>
      </c>
      <c r="R5" s="5" t="inlineStr">
        <is>
          <t>2026-10-23</t>
        </is>
      </c>
      <c r="S5" s="5" t="inlineStr"/>
    </row>
    <row r="6">
      <c r="A6" s="5" t="inlineStr">
        <is>
          <t>Google Ads</t>
        </is>
      </c>
      <c r="B6" s="5" t="inlineStr">
        <is>
          <t>BIGAZINE</t>
        </is>
      </c>
      <c r="C6" s="5" t="inlineStr">
        <is>
          <t>249-409-3513</t>
        </is>
      </c>
      <c r="D6" s="5" t="inlineStr">
        <is>
          <t>Bigazine</t>
        </is>
      </c>
      <c r="E6" s="5" t="inlineStr">
        <is>
          <t>google-ads-dMx7</t>
        </is>
      </c>
      <c r="F6" s="5" t="inlineStr">
        <is>
          <t>1 Funcional — dado ativo</t>
        </is>
      </c>
      <c r="G6" s="5" t="n">
        <v>1688</v>
      </c>
      <c r="H6" s="5" t="inlineStr">
        <is>
          <t>2026-10-19</t>
        </is>
      </c>
      <c r="I6" s="5" t="n">
        <v>3004.85</v>
      </c>
      <c r="J6" s="5" t="n">
        <v>3004.85</v>
      </c>
      <c r="K6" s="5" t="n">
        <v>0</v>
      </c>
      <c r="L6" s="5" t="inlineStr">
        <is>
          <t>BRL</t>
        </is>
      </c>
      <c r="M6" s="5" t="inlineStr">
        <is>
          <t>gasto 13/09-12/10</t>
        </is>
      </c>
      <c r="N6" s="5" t="inlineStr"/>
      <c r="O6" s="5" t="inlineStr">
        <is>
          <t>Administrador do MCC Google Ads 170-443-9246 (a confirmar)</t>
        </is>
      </c>
      <c r="P6" s="5" t="inlineStr"/>
      <c r="Q6" s="5" t="inlineStr">
        <is>
          <t>E1 reautorizar conector v2.53 ate 23/10</t>
        </is>
      </c>
      <c r="R6" s="5" t="inlineStr">
        <is>
          <t>2026-10-23</t>
        </is>
      </c>
      <c r="S6" s="5" t="inlineStr"/>
    </row>
    <row r="7">
      <c r="A7" s="5" t="inlineStr">
        <is>
          <t>Google Ads</t>
        </is>
      </c>
      <c r="B7" s="5" t="inlineStr">
        <is>
          <t>BRAGA ACESSÓRIOS</t>
        </is>
      </c>
      <c r="C7" s="5" t="inlineStr">
        <is>
          <t>319-374-7131</t>
        </is>
      </c>
      <c r="D7" s="5" t="inlineStr">
        <is>
          <t>Braga Acessórios</t>
        </is>
      </c>
      <c r="E7" s="5" t="inlineStr">
        <is>
          <t>google-ads-6Z2v</t>
        </is>
      </c>
      <c r="F7" s="5" t="inlineStr">
        <is>
          <t>1 Funcional — dado ativo</t>
        </is>
      </c>
      <c r="G7" s="5" t="n">
        <v>1863</v>
      </c>
      <c r="H7" s="5" t="inlineStr">
        <is>
          <t>2026-10-19</t>
        </is>
      </c>
      <c r="I7" s="5" t="n">
        <v>1962.88</v>
      </c>
      <c r="J7" s="5" t="n">
        <v>1962.88</v>
      </c>
      <c r="K7" s="5" t="n">
        <v>0</v>
      </c>
      <c r="L7" s="5" t="inlineStr">
        <is>
          <t>BRL</t>
        </is>
      </c>
      <c r="M7" s="5" t="inlineStr">
        <is>
          <t>gasto 13/09-12/10</t>
        </is>
      </c>
      <c r="N7" s="5" t="inlineStr"/>
      <c r="O7" s="5" t="inlineStr">
        <is>
          <t>Nekt (Jussara)</t>
        </is>
      </c>
      <c r="P7" s="5" t="inlineStr"/>
      <c r="Q7" s="5" t="inlineStr">
        <is>
          <t>E1 reautorizar conector v2.53 ate 23/10</t>
        </is>
      </c>
      <c r="R7" s="5" t="inlineStr">
        <is>
          <t>2026-10-20</t>
        </is>
      </c>
      <c r="S7" s="5" t="inlineStr"/>
    </row>
    <row r="8">
      <c r="A8" s="5" t="inlineStr">
        <is>
          <t>Google Ads</t>
        </is>
      </c>
      <c r="B8" s="5" t="inlineStr">
        <is>
          <t>BRAGA MINI</t>
        </is>
      </c>
      <c r="C8" s="5" t="inlineStr">
        <is>
          <t>876-663-8384</t>
        </is>
      </c>
      <c r="D8" s="5" t="inlineStr">
        <is>
          <t>BRAGA MOTORS - MINI</t>
        </is>
      </c>
      <c r="E8" s="5" t="inlineStr">
        <is>
          <t>google-ads-RCRU</t>
        </is>
      </c>
      <c r="F8" s="5" t="inlineStr">
        <is>
          <t>1 Funcional — dado ativo</t>
        </is>
      </c>
      <c r="G8" s="5" t="n">
        <v>1152</v>
      </c>
      <c r="H8" s="5" t="inlineStr">
        <is>
          <t>2026-10-19</t>
        </is>
      </c>
      <c r="I8" s="5" t="n">
        <v>265.73</v>
      </c>
      <c r="J8" s="5" t="n">
        <v>265.73</v>
      </c>
      <c r="K8" s="5" t="n">
        <v>0</v>
      </c>
      <c r="L8" s="5" t="inlineStr">
        <is>
          <t>BRL</t>
        </is>
      </c>
      <c r="M8" s="5" t="inlineStr">
        <is>
          <t>gasto 13/09-12/10</t>
        </is>
      </c>
      <c r="N8" s="5" t="inlineStr"/>
      <c r="O8" s="5" t="inlineStr">
        <is>
          <t>Nekt (Jussara)</t>
        </is>
      </c>
      <c r="P8" s="5" t="inlineStr"/>
      <c r="Q8" s="5" t="inlineStr">
        <is>
          <t>E1 reautorizar conector v2.53 ate 23/10</t>
        </is>
      </c>
      <c r="R8" s="5" t="inlineStr">
        <is>
          <t>2026-10-20</t>
        </is>
      </c>
      <c r="S8" s="5" t="inlineStr"/>
    </row>
    <row r="9">
      <c r="A9" s="5" t="inlineStr">
        <is>
          <t>Google Ads</t>
        </is>
      </c>
      <c r="B9" s="5" t="inlineStr">
        <is>
          <t>BRAGA MOTORRAD | MOTO BMW</t>
        </is>
      </c>
      <c r="C9" s="5" t="inlineStr">
        <is>
          <t>660-489-2813</t>
        </is>
      </c>
      <c r="D9" s="5" t="inlineStr">
        <is>
          <t>BRAGA MOTORS - MOTORRAD</t>
        </is>
      </c>
      <c r="E9" s="5" t="inlineStr">
        <is>
          <t>google-ads-VozJ</t>
        </is>
      </c>
      <c r="F9" s="5" t="inlineStr">
        <is>
          <t>1 Funcional — dado ativo</t>
        </is>
      </c>
      <c r="G9" s="5" t="n">
        <v>1018</v>
      </c>
      <c r="H9" s="5" t="inlineStr">
        <is>
          <t>2026-10-19</t>
        </is>
      </c>
      <c r="I9" s="5" t="n">
        <v>105.54</v>
      </c>
      <c r="J9" s="5" t="n">
        <v>105.54</v>
      </c>
      <c r="K9" s="5" t="n">
        <v>0</v>
      </c>
      <c r="L9" s="5" t="inlineStr">
        <is>
          <t>BRL</t>
        </is>
      </c>
      <c r="M9" s="5" t="inlineStr">
        <is>
          <t>gasto 13/09-12/10</t>
        </is>
      </c>
      <c r="N9" s="5" t="inlineStr"/>
      <c r="O9" s="5" t="inlineStr">
        <is>
          <t>Nekt (Jussara)</t>
        </is>
      </c>
      <c r="P9" s="5" t="inlineStr"/>
      <c r="Q9" s="5" t="inlineStr">
        <is>
          <t>E1 reautorizar conector v2.53 ate 23/10</t>
        </is>
      </c>
      <c r="R9" s="5" t="inlineStr">
        <is>
          <t>2026-10-20</t>
        </is>
      </c>
      <c r="S9" s="5" t="inlineStr"/>
    </row>
    <row r="10">
      <c r="A10" s="5" t="inlineStr">
        <is>
          <t>Google Ads</t>
        </is>
      </c>
      <c r="B10" s="5" t="inlineStr">
        <is>
          <t>BRAGA MOTORS BMW</t>
        </is>
      </c>
      <c r="C10" s="5" t="inlineStr">
        <is>
          <t>935-985-8042</t>
        </is>
      </c>
      <c r="D10" s="5" t="inlineStr">
        <is>
          <t>BRAGA VEICULOS LTDA</t>
        </is>
      </c>
      <c r="E10" s="5" t="inlineStr">
        <is>
          <t>google-ads-cFrH</t>
        </is>
      </c>
      <c r="F10" s="5" t="inlineStr">
        <is>
          <t>1 Funcional — dado ativo</t>
        </is>
      </c>
      <c r="G10" s="5" t="n">
        <v>3053</v>
      </c>
      <c r="H10" s="5" t="inlineStr">
        <is>
          <t>2026-10-19</t>
        </is>
      </c>
      <c r="I10" s="5" t="n">
        <v>1503.13</v>
      </c>
      <c r="J10" s="5" t="n">
        <v>1503.91</v>
      </c>
      <c r="K10" s="5" t="n">
        <v>-0.78</v>
      </c>
      <c r="L10" s="5" t="inlineStr">
        <is>
          <t>BRL</t>
        </is>
      </c>
      <c r="M10" s="5" t="inlineStr">
        <is>
          <t>gasto 13/09-12/10</t>
        </is>
      </c>
      <c r="N10" s="5" t="inlineStr"/>
      <c r="O10" s="5" t="inlineStr">
        <is>
          <t>Nekt (Jussara)</t>
        </is>
      </c>
      <c r="P10" s="5" t="inlineStr"/>
      <c r="Q10" s="5" t="inlineStr">
        <is>
          <t>E1 reautorizar conector v2.53 ate 23/10</t>
        </is>
      </c>
      <c r="R10" s="5" t="inlineStr">
        <is>
          <t>2026-10-20</t>
        </is>
      </c>
      <c r="S10" s="5" t="inlineStr"/>
    </row>
    <row r="11">
      <c r="A11" s="5" t="inlineStr">
        <is>
          <t>Google Ads</t>
        </is>
      </c>
      <c r="B11" s="5" t="inlineStr">
        <is>
          <t>BRAGA YAMAHA</t>
        </is>
      </c>
      <c r="C11" s="5" t="inlineStr">
        <is>
          <t>187-499-5593</t>
        </is>
      </c>
      <c r="D11" s="5" t="inlineStr">
        <is>
          <t>Braga Motos</t>
        </is>
      </c>
      <c r="E11" s="5" t="inlineStr">
        <is>
          <t>google-ads-Pk69</t>
        </is>
      </c>
      <c r="F11" s="5" t="inlineStr">
        <is>
          <t>1 Funcional — dado ativo</t>
        </is>
      </c>
      <c r="G11" s="5" t="n">
        <v>4170</v>
      </c>
      <c r="H11" s="5" t="inlineStr">
        <is>
          <t>2026-10-19</t>
        </is>
      </c>
      <c r="I11" s="5" t="n">
        <v>925.58</v>
      </c>
      <c r="J11" s="5" t="n">
        <v>925.58</v>
      </c>
      <c r="K11" s="5" t="n">
        <v>0</v>
      </c>
      <c r="L11" s="5" t="inlineStr">
        <is>
          <t>BRL</t>
        </is>
      </c>
      <c r="M11" s="5" t="inlineStr">
        <is>
          <t>gasto 13/09-12/10</t>
        </is>
      </c>
      <c r="N11" s="5" t="inlineStr"/>
      <c r="O11" s="5" t="inlineStr">
        <is>
          <t>Nekt (Jussara)</t>
        </is>
      </c>
      <c r="P11" s="5" t="inlineStr"/>
      <c r="Q11" s="5" t="inlineStr">
        <is>
          <t>E1 reautorizar conector v2.53 ate 23/10</t>
        </is>
      </c>
      <c r="R11" s="5" t="inlineStr">
        <is>
          <t>2026-10-20</t>
        </is>
      </c>
      <c r="S11" s="5" t="inlineStr"/>
    </row>
    <row r="12">
      <c r="A12" s="5" t="inlineStr">
        <is>
          <t>Google Ads</t>
        </is>
      </c>
      <c r="B12" s="5" t="inlineStr">
        <is>
          <t>BRAGA YAMAHA CONSÓRCIOS</t>
        </is>
      </c>
      <c r="C12" s="5" t="inlineStr">
        <is>
          <t>421-608-6233</t>
        </is>
      </c>
      <c r="D12" s="5" t="inlineStr">
        <is>
          <t>Braga Consórcio</t>
        </is>
      </c>
      <c r="E12" s="5" t="inlineStr">
        <is>
          <t>google-ads-5J1y</t>
        </is>
      </c>
      <c r="F12" s="5" t="inlineStr">
        <is>
          <t>1 Funcional — dado ativo</t>
        </is>
      </c>
      <c r="G12" s="5" t="n">
        <v>4839</v>
      </c>
      <c r="H12" s="5" t="inlineStr">
        <is>
          <t>2026-10-19</t>
        </is>
      </c>
      <c r="I12" s="5" t="n">
        <v>2316.64</v>
      </c>
      <c r="J12" s="5" t="n">
        <v>2316.64</v>
      </c>
      <c r="K12" s="5" t="n">
        <v>0</v>
      </c>
      <c r="L12" s="5" t="inlineStr">
        <is>
          <t>BRL</t>
        </is>
      </c>
      <c r="M12" s="5" t="inlineStr">
        <is>
          <t>gasto 13/09-12/10</t>
        </is>
      </c>
      <c r="N12" s="5" t="inlineStr"/>
      <c r="O12" s="5" t="inlineStr">
        <is>
          <t>Nekt (Jussara)</t>
        </is>
      </c>
      <c r="P12" s="5" t="inlineStr"/>
      <c r="Q12" s="5" t="inlineStr">
        <is>
          <t>E1 reautorizar conector v2.53 ate 23/10</t>
        </is>
      </c>
      <c r="R12" s="5" t="inlineStr">
        <is>
          <t>2026-10-20</t>
        </is>
      </c>
      <c r="S12" s="5" t="inlineStr"/>
    </row>
    <row r="13">
      <c r="A13" s="5" t="inlineStr">
        <is>
          <t>Google Ads</t>
        </is>
      </c>
      <c r="B13" s="5" t="inlineStr">
        <is>
          <t>CAA ALUMÍNIO</t>
        </is>
      </c>
      <c r="C13" s="5" t="inlineStr">
        <is>
          <t>938-204-4362</t>
        </is>
      </c>
      <c r="D13" s="5" t="inlineStr">
        <is>
          <t>CAA - ALUMINIO</t>
        </is>
      </c>
      <c r="E13" s="5" t="inlineStr">
        <is>
          <t>google-ads-A1kM</t>
        </is>
      </c>
      <c r="F13" s="5" t="inlineStr">
        <is>
          <t>1 Funcional — dado ativo</t>
        </is>
      </c>
      <c r="G13" s="5" t="n">
        <v>1159</v>
      </c>
      <c r="H13" s="5" t="inlineStr">
        <is>
          <t>2026-10-19</t>
        </is>
      </c>
      <c r="I13" s="5" t="n">
        <v>821.54</v>
      </c>
      <c r="J13" s="5" t="n">
        <v>821.54</v>
      </c>
      <c r="K13" s="5" t="n">
        <v>0</v>
      </c>
      <c r="L13" s="5" t="inlineStr">
        <is>
          <t>BRL</t>
        </is>
      </c>
      <c r="M13" s="5" t="inlineStr">
        <is>
          <t>gasto 13/09-12/10</t>
        </is>
      </c>
      <c r="N13" s="5" t="inlineStr"/>
      <c r="O13" s="5" t="inlineStr">
        <is>
          <t>Administrador do MCC Google Ads 170-443-9246 (a confirmar)</t>
        </is>
      </c>
      <c r="P13" s="5" t="inlineStr"/>
      <c r="Q13" s="5" t="inlineStr">
        <is>
          <t>E1 reautorizar conector v2.53 ate 23/10</t>
        </is>
      </c>
      <c r="R13" s="5" t="inlineStr">
        <is>
          <t>2026-10-23</t>
        </is>
      </c>
      <c r="S13" s="5" t="inlineStr"/>
    </row>
    <row r="14">
      <c r="A14" s="5" t="inlineStr">
        <is>
          <t>Google Ads</t>
        </is>
      </c>
      <c r="B14" s="5" t="inlineStr">
        <is>
          <t>CAA TINTAS</t>
        </is>
      </c>
      <c r="C14" s="5" t="inlineStr">
        <is>
          <t>883-795-0560</t>
        </is>
      </c>
      <c r="D14" s="5" t="inlineStr">
        <is>
          <t>CAA Tintas</t>
        </is>
      </c>
      <c r="E14" s="5" t="inlineStr">
        <is>
          <t>google-ads-mEnk</t>
        </is>
      </c>
      <c r="F14" s="5" t="inlineStr">
        <is>
          <t>1 Funcional — dado ativo</t>
        </is>
      </c>
      <c r="G14" s="5" t="n">
        <v>487</v>
      </c>
      <c r="H14" s="5" t="inlineStr">
        <is>
          <t>2026-10-07</t>
        </is>
      </c>
      <c r="I14" s="5" t="n">
        <v>501.4</v>
      </c>
      <c r="J14" s="5" t="n">
        <v>501.4</v>
      </c>
      <c r="K14" s="5" t="n">
        <v>0</v>
      </c>
      <c r="L14" s="5" t="inlineStr">
        <is>
          <t>BRL</t>
        </is>
      </c>
      <c r="M14" s="5" t="inlineStr">
        <is>
          <t>gasto 13/09-12/10</t>
        </is>
      </c>
      <c r="N14" s="5" t="inlineStr"/>
      <c r="O14" s="5" t="inlineStr">
        <is>
          <t>Administrador do MCC Google Ads 170-443-9246 (a confirmar)</t>
        </is>
      </c>
      <c r="P14" s="5" t="inlineStr"/>
      <c r="Q14" s="5" t="inlineStr">
        <is>
          <t>E1 reautorizar conector v2.53 ate 23/10</t>
        </is>
      </c>
      <c r="R14" s="5" t="inlineStr">
        <is>
          <t>2026-10-23</t>
        </is>
      </c>
      <c r="S14" s="5" t="inlineStr"/>
    </row>
    <row r="15">
      <c r="A15" s="5" t="inlineStr">
        <is>
          <t>Google Ads</t>
        </is>
      </c>
      <c r="B15" s="5" t="inlineStr">
        <is>
          <t>COLMEIA</t>
        </is>
      </c>
      <c r="C15" s="5" t="inlineStr">
        <is>
          <t>749-433-0271</t>
        </is>
      </c>
      <c r="D15" s="5" t="inlineStr">
        <is>
          <t>CONSTRUTORA COLMEIA S/A</t>
        </is>
      </c>
      <c r="E15" s="5" t="inlineStr">
        <is>
          <t>google-ads-R4be</t>
        </is>
      </c>
      <c r="F15" s="5" t="inlineStr">
        <is>
          <t>1 Funcional — dado ativo</t>
        </is>
      </c>
      <c r="G15" s="5" t="n">
        <v>3806</v>
      </c>
      <c r="H15" s="5" t="inlineStr">
        <is>
          <t>2026-10-19</t>
        </is>
      </c>
      <c r="I15" s="5" t="n">
        <v>3174.61</v>
      </c>
      <c r="J15" s="5" t="n">
        <v>3174.61</v>
      </c>
      <c r="K15" s="5" t="n">
        <v>0</v>
      </c>
      <c r="L15" s="5" t="inlineStr">
        <is>
          <t>BRL</t>
        </is>
      </c>
      <c r="M15" s="5" t="inlineStr">
        <is>
          <t>gasto 13/09-12/10</t>
        </is>
      </c>
      <c r="N15" s="5" t="inlineStr"/>
      <c r="O15" s="5" t="inlineStr">
        <is>
          <t>Administrador do MCC Google Ads 170-443-9246 (a confirmar)</t>
        </is>
      </c>
      <c r="P15" s="5" t="inlineStr"/>
      <c r="Q15" s="5" t="inlineStr">
        <is>
          <t>E1 reautorizar conector v2.53 ate 23/10</t>
        </is>
      </c>
      <c r="R15" s="5" t="inlineStr">
        <is>
          <t>2026-10-23</t>
        </is>
      </c>
      <c r="S15" s="5" t="inlineStr"/>
    </row>
    <row r="16">
      <c r="A16" s="5" t="inlineStr">
        <is>
          <t>Google Ads</t>
        </is>
      </c>
      <c r="B16" s="5" t="inlineStr">
        <is>
          <t>CONSTRÓI INCORPORADORA</t>
        </is>
      </c>
      <c r="C16" s="5" t="inlineStr">
        <is>
          <t>240-477-7291</t>
        </is>
      </c>
      <c r="D16" s="5" t="inlineStr">
        <is>
          <t>Constrói Construtora</t>
        </is>
      </c>
      <c r="E16" s="5" t="inlineStr">
        <is>
          <t>google-ads-jT4J</t>
        </is>
      </c>
      <c r="F16" s="5" t="inlineStr">
        <is>
          <t>1 Funcional — dado ativo</t>
        </is>
      </c>
      <c r="G16" s="5" t="n">
        <v>1064</v>
      </c>
      <c r="H16" s="5" t="inlineStr">
        <is>
          <t>2026-10-19</t>
        </is>
      </c>
      <c r="I16" s="5" t="n">
        <v>1313.27</v>
      </c>
      <c r="J16" s="5" t="n">
        <v>1313.27</v>
      </c>
      <c r="K16" s="5" t="n">
        <v>0</v>
      </c>
      <c r="L16" s="5" t="inlineStr">
        <is>
          <t>BRL</t>
        </is>
      </c>
      <c r="M16" s="5" t="inlineStr">
        <is>
          <t>gasto 13/09-12/10</t>
        </is>
      </c>
      <c r="N16" s="5" t="inlineStr"/>
      <c r="O16" s="5" t="inlineStr">
        <is>
          <t>Administrador do MCC Google Ads 170-443-9246 (a confirmar)</t>
        </is>
      </c>
      <c r="P16" s="5" t="inlineStr"/>
      <c r="Q16" s="5" t="inlineStr">
        <is>
          <t>E1 reautorizar conector v2.53 ate 23/10</t>
        </is>
      </c>
      <c r="R16" s="5" t="inlineStr">
        <is>
          <t>2026-10-23</t>
        </is>
      </c>
      <c r="S16" s="5" t="inlineStr"/>
    </row>
    <row r="17">
      <c r="A17" s="5" t="inlineStr">
        <is>
          <t>Google Ads</t>
        </is>
      </c>
      <c r="B17" s="5" t="inlineStr">
        <is>
          <t>DOCTOR MAIS</t>
        </is>
      </c>
      <c r="C17" s="5" t="inlineStr">
        <is>
          <t>616-771-1319</t>
        </is>
      </c>
      <c r="D17" s="5" t="inlineStr">
        <is>
          <t>Doctor Mais</t>
        </is>
      </c>
      <c r="E17" s="5" t="inlineStr">
        <is>
          <t>google-ads-ABUl</t>
        </is>
      </c>
      <c r="F17" s="5" t="inlineStr">
        <is>
          <t>1 Funcional — dado ativo</t>
        </is>
      </c>
      <c r="G17" s="5" t="n">
        <v>3130</v>
      </c>
      <c r="H17" s="5" t="inlineStr">
        <is>
          <t>2026-10-19</t>
        </is>
      </c>
      <c r="I17" s="5" t="n">
        <v>536.09</v>
      </c>
      <c r="J17" s="5" t="n">
        <v>536.09</v>
      </c>
      <c r="K17" s="5" t="n">
        <v>0</v>
      </c>
      <c r="L17" s="5" t="inlineStr">
        <is>
          <t>BRL</t>
        </is>
      </c>
      <c r="M17" s="5" t="inlineStr">
        <is>
          <t>gasto 13/09-12/10</t>
        </is>
      </c>
      <c r="N17" s="5" t="inlineStr"/>
      <c r="O17" s="5" t="inlineStr">
        <is>
          <t>Administrador do MCC Google Ads 170-443-9246 (a confirmar)</t>
        </is>
      </c>
      <c r="P17" s="5" t="inlineStr"/>
      <c r="Q17" s="5" t="inlineStr">
        <is>
          <t>E1 reautorizar conector v2.53 ate 23/10</t>
        </is>
      </c>
      <c r="R17" s="5" t="inlineStr">
        <is>
          <t>2026-10-23</t>
        </is>
      </c>
      <c r="S17" s="5" t="inlineStr"/>
    </row>
    <row r="18">
      <c r="A18" s="5" t="inlineStr">
        <is>
          <t>Google Ads</t>
        </is>
      </c>
      <c r="B18" s="5" t="inlineStr">
        <is>
          <t>HOSPITAL SANTA JÚLIA</t>
        </is>
      </c>
      <c r="C18" s="5" t="inlineStr">
        <is>
          <t>287-194-4411</t>
        </is>
      </c>
      <c r="D18" s="5" t="inlineStr">
        <is>
          <t>HOSPITAL SANTA JULIA</t>
        </is>
      </c>
      <c r="E18" s="5" t="inlineStr">
        <is>
          <t>google-ads-rSav</t>
        </is>
      </c>
      <c r="F18" s="5" t="inlineStr">
        <is>
          <t>1 Funcional — dado ativo</t>
        </is>
      </c>
      <c r="G18" s="5" t="n">
        <v>5393</v>
      </c>
      <c r="H18" s="5" t="inlineStr">
        <is>
          <t>2026-10-15</t>
        </is>
      </c>
      <c r="I18" s="5" t="n">
        <v>2421.53</v>
      </c>
      <c r="J18" s="5" t="n">
        <v>2421.51</v>
      </c>
      <c r="K18" s="5" t="n">
        <v>0.02</v>
      </c>
      <c r="L18" s="5" t="inlineStr">
        <is>
          <t>BRL</t>
        </is>
      </c>
      <c r="M18" s="5" t="inlineStr">
        <is>
          <t>gasto 13/09-12/10</t>
        </is>
      </c>
      <c r="N18" s="5" t="inlineStr"/>
      <c r="O18" s="5" t="inlineStr">
        <is>
          <t>Administrador do MCC Google Ads 170-443-9246 (a confirmar)</t>
        </is>
      </c>
      <c r="P18" s="5" t="inlineStr"/>
      <c r="Q18" s="5" t="inlineStr">
        <is>
          <t>E1 reautorizar conector v2.53 ate 23/10</t>
        </is>
      </c>
      <c r="R18" s="5" t="inlineStr">
        <is>
          <t>2026-10-23</t>
        </is>
      </c>
      <c r="S18" s="5" t="inlineStr"/>
    </row>
    <row r="19">
      <c r="A19" s="5" t="inlineStr">
        <is>
          <t>Google Ads</t>
        </is>
      </c>
      <c r="B19" s="5" t="inlineStr">
        <is>
          <t>MILLENIUM</t>
        </is>
      </c>
      <c r="C19" s="5" t="inlineStr">
        <is>
          <t>890-412-6755</t>
        </is>
      </c>
      <c r="D19" s="5" t="inlineStr">
        <is>
          <t>Millennium Shopping</t>
        </is>
      </c>
      <c r="E19" s="5" t="inlineStr">
        <is>
          <t>google-ads-GZ55</t>
        </is>
      </c>
      <c r="F19" s="5" t="inlineStr">
        <is>
          <t>1 Funcional — dado ativo</t>
        </is>
      </c>
      <c r="G19" s="5" t="n">
        <v>1002</v>
      </c>
      <c r="H19" s="5" t="inlineStr">
        <is>
          <t>2026-10-19</t>
        </is>
      </c>
      <c r="I19" s="5" t="n">
        <v>573.96</v>
      </c>
      <c r="J19" s="5" t="n">
        <v>573.96</v>
      </c>
      <c r="K19" s="5" t="n">
        <v>0</v>
      </c>
      <c r="L19" s="5" t="inlineStr">
        <is>
          <t>BRL</t>
        </is>
      </c>
      <c r="M19" s="5" t="inlineStr">
        <is>
          <t>gasto 13/09-12/10</t>
        </is>
      </c>
      <c r="N19" s="5" t="inlineStr"/>
      <c r="O19" s="5" t="inlineStr">
        <is>
          <t>Administrador do MCC Google Ads 170-443-9246 (a confirmar)</t>
        </is>
      </c>
      <c r="P19" s="5" t="inlineStr"/>
      <c r="Q19" s="5" t="inlineStr">
        <is>
          <t>E1 reautorizar conector v2.53 ate 23/10</t>
        </is>
      </c>
      <c r="R19" s="5" t="inlineStr">
        <is>
          <t>2026-10-23</t>
        </is>
      </c>
      <c r="S19" s="5" t="inlineStr"/>
    </row>
    <row r="20">
      <c r="A20" s="5" t="inlineStr">
        <is>
          <t>Google Ads</t>
        </is>
      </c>
      <c r="B20" s="5" t="inlineStr">
        <is>
          <t>MOVE RENTAL CARS</t>
        </is>
      </c>
      <c r="C20" s="5" t="inlineStr">
        <is>
          <t>568-598-9711</t>
        </is>
      </c>
      <c r="D20" s="5" t="inlineStr">
        <is>
          <t>Move Rental Cars</t>
        </is>
      </c>
      <c r="E20" s="5" t="inlineStr">
        <is>
          <t>google-ads-vfUV</t>
        </is>
      </c>
      <c r="F20" s="5" t="inlineStr">
        <is>
          <t>1 Funcional — dado ativo</t>
        </is>
      </c>
      <c r="G20" s="5" t="n">
        <v>1450</v>
      </c>
      <c r="H20" s="5" t="inlineStr">
        <is>
          <t>2026-10-19</t>
        </is>
      </c>
      <c r="I20" s="5" t="n">
        <v>3015.25</v>
      </c>
      <c r="J20" s="5" t="n">
        <v>3015.25</v>
      </c>
      <c r="K20" s="5" t="n">
        <v>0</v>
      </c>
      <c r="L20" s="5" t="inlineStr">
        <is>
          <t>USD</t>
        </is>
      </c>
      <c r="M20" s="5" t="inlineStr">
        <is>
          <t>gasto 13/09-12/10</t>
        </is>
      </c>
      <c r="N20" s="5" t="inlineStr"/>
      <c r="O20" s="5" t="inlineStr">
        <is>
          <t>Administrador do MCC Google Ads 170-443-9246 (a confirmar)</t>
        </is>
      </c>
      <c r="P20" s="5" t="inlineStr"/>
      <c r="Q20" s="5" t="inlineStr">
        <is>
          <t>E1 reautorizar conector v2.53 ate 23/10</t>
        </is>
      </c>
      <c r="R20" s="5" t="inlineStr">
        <is>
          <t>2026-10-23</t>
        </is>
      </c>
      <c r="S20" s="5" t="inlineStr"/>
    </row>
    <row r="21">
      <c r="A21" s="5" t="inlineStr">
        <is>
          <t>Google Ads</t>
        </is>
      </c>
      <c r="B21" s="5" t="inlineStr">
        <is>
          <t>PMZ ESCOLA DE MECÂNICOS</t>
        </is>
      </c>
      <c r="C21" s="5" t="inlineStr">
        <is>
          <t>728-010-3768</t>
        </is>
      </c>
      <c r="D21" s="5" t="inlineStr">
        <is>
          <t>Escola PMZ</t>
        </is>
      </c>
      <c r="E21" s="5" t="inlineStr">
        <is>
          <t>google-ads-PdSr</t>
        </is>
      </c>
      <c r="F21" s="5" t="inlineStr">
        <is>
          <t>1 Funcional — dado ativo</t>
        </is>
      </c>
      <c r="G21" s="5" t="n">
        <v>2595</v>
      </c>
      <c r="H21" s="5" t="inlineStr">
        <is>
          <t>2026-10-19</t>
        </is>
      </c>
      <c r="I21" s="5" t="n">
        <v>543.0700000000001</v>
      </c>
      <c r="J21" s="5" t="n">
        <v>543.0700000000001</v>
      </c>
      <c r="K21" s="5" t="n">
        <v>0</v>
      </c>
      <c r="L21" s="5" t="inlineStr">
        <is>
          <t>BRL</t>
        </is>
      </c>
      <c r="M21" s="5" t="inlineStr">
        <is>
          <t>gasto 13/09-12/10</t>
        </is>
      </c>
      <c r="N21" s="5" t="inlineStr"/>
      <c r="O21" s="5" t="inlineStr">
        <is>
          <t>Administrador do MCC Google Ads 170-443-9246 (a confirmar)</t>
        </is>
      </c>
      <c r="P21" s="5" t="inlineStr"/>
      <c r="Q21" s="5" t="inlineStr">
        <is>
          <t>E1 reautorizar conector v2.53 ate 23/10</t>
        </is>
      </c>
      <c r="R21" s="5" t="inlineStr">
        <is>
          <t>2026-10-23</t>
        </is>
      </c>
      <c r="S21" s="5" t="inlineStr"/>
    </row>
    <row r="22">
      <c r="A22" s="5" t="inlineStr">
        <is>
          <t>Google Ads</t>
        </is>
      </c>
      <c r="B22" s="5" t="inlineStr">
        <is>
          <t>PMZ GRUPO ECOMM</t>
        </is>
      </c>
      <c r="C22" s="5" t="inlineStr">
        <is>
          <t>521-067-3200</t>
        </is>
      </c>
      <c r="D22" s="5" t="inlineStr">
        <is>
          <t>PMZ ECOMM</t>
        </is>
      </c>
      <c r="E22" s="5" t="inlineStr">
        <is>
          <t>google-ads-Llsu</t>
        </is>
      </c>
      <c r="F22" s="5" t="inlineStr">
        <is>
          <t>1 Funcional — dado ativo</t>
        </is>
      </c>
      <c r="G22" s="5" t="n">
        <v>13686</v>
      </c>
      <c r="H22" s="5" t="inlineStr">
        <is>
          <t>2026-10-19</t>
        </is>
      </c>
      <c r="I22" s="5" t="n">
        <v>35261.32</v>
      </c>
      <c r="J22" s="5" t="n">
        <v>35261.32</v>
      </c>
      <c r="K22" s="5" t="n">
        <v>0</v>
      </c>
      <c r="L22" s="5" t="inlineStr">
        <is>
          <t>BRL</t>
        </is>
      </c>
      <c r="M22" s="5" t="inlineStr">
        <is>
          <t>gasto 13/09-12/10</t>
        </is>
      </c>
      <c r="N22" s="5" t="inlineStr"/>
      <c r="O22" s="5" t="inlineStr">
        <is>
          <t>Administrador do MCC Google Ads 170-443-9246 (a confirmar)</t>
        </is>
      </c>
      <c r="P22" s="5" t="inlineStr"/>
      <c r="Q22" s="5" t="inlineStr">
        <is>
          <t>E1 reautorizar conector v2.53 ate 23/10</t>
        </is>
      </c>
      <c r="R22" s="5" t="inlineStr">
        <is>
          <t>2026-10-23</t>
        </is>
      </c>
      <c r="S22" s="5" t="inlineStr"/>
    </row>
    <row r="23">
      <c r="A23" s="5" t="inlineStr">
        <is>
          <t>Google Ads</t>
        </is>
      </c>
      <c r="B23" s="5" t="inlineStr">
        <is>
          <t>PMZ GRUPO LOJA</t>
        </is>
      </c>
      <c r="C23" s="5" t="inlineStr">
        <is>
          <t>874-006-5197</t>
        </is>
      </c>
      <c r="D23" s="5" t="inlineStr">
        <is>
          <t>PMZ</t>
        </is>
      </c>
      <c r="E23" s="5" t="inlineStr">
        <is>
          <t>google-ads-NP4k</t>
        </is>
      </c>
      <c r="F23" s="5" t="inlineStr">
        <is>
          <t>1 Funcional — dado ativo</t>
        </is>
      </c>
      <c r="G23" s="5" t="n">
        <v>12192</v>
      </c>
      <c r="H23" s="5" t="inlineStr">
        <is>
          <t>2026-10-19</t>
        </is>
      </c>
      <c r="I23" s="5" t="n">
        <v>19643.18</v>
      </c>
      <c r="J23" s="5" t="n">
        <v>19643.14</v>
      </c>
      <c r="K23" s="5" t="n">
        <v>0.04</v>
      </c>
      <c r="L23" s="5" t="inlineStr">
        <is>
          <t>BRL</t>
        </is>
      </c>
      <c r="M23" s="5" t="inlineStr">
        <is>
          <t>gasto 13/09-12/10</t>
        </is>
      </c>
      <c r="N23" s="5" t="inlineStr"/>
      <c r="O23" s="5" t="inlineStr">
        <is>
          <t>Administrador do MCC Google Ads 170-443-9246 (a confirmar)</t>
        </is>
      </c>
      <c r="P23" s="5" t="inlineStr"/>
      <c r="Q23" s="5" t="inlineStr">
        <is>
          <t>E1 reautorizar conector v2.53 ate 23/10</t>
        </is>
      </c>
      <c r="R23" s="5" t="inlineStr">
        <is>
          <t>2026-10-23</t>
        </is>
      </c>
      <c r="S23" s="5" t="inlineStr"/>
    </row>
    <row r="24">
      <c r="A24" s="5" t="inlineStr">
        <is>
          <t>Google Ads</t>
        </is>
      </c>
      <c r="B24" s="5" t="inlineStr">
        <is>
          <t>PNEU EXPRESS</t>
        </is>
      </c>
      <c r="C24" s="5" t="inlineStr">
        <is>
          <t>592-171-1317</t>
        </is>
      </c>
      <c r="D24" s="5" t="inlineStr">
        <is>
          <t>Pneu Forte l Pneu Express</t>
        </is>
      </c>
      <c r="E24" s="5" t="inlineStr">
        <is>
          <t>google-ads-802k</t>
        </is>
      </c>
      <c r="F24" s="5" t="inlineStr">
        <is>
          <t>1 Funcional — dado ativo</t>
        </is>
      </c>
      <c r="G24" s="5" t="n">
        <v>82</v>
      </c>
      <c r="H24" s="5" t="inlineStr">
        <is>
          <t>2026-10-19</t>
        </is>
      </c>
      <c r="I24" s="5" t="n">
        <v>776.4</v>
      </c>
      <c r="J24" s="5" t="n">
        <v>776.4</v>
      </c>
      <c r="K24" s="5" t="n">
        <v>0</v>
      </c>
      <c r="L24" s="5" t="inlineStr">
        <is>
          <t>BRL</t>
        </is>
      </c>
      <c r="M24" s="5" t="inlineStr">
        <is>
          <t>gasto 13/09-12/10</t>
        </is>
      </c>
      <c r="N24" s="5" t="inlineStr"/>
      <c r="O24" s="5" t="inlineStr">
        <is>
          <t>Administrador do MCC Google Ads 170-443-9246 (a confirmar)</t>
        </is>
      </c>
      <c r="P24" s="5" t="inlineStr"/>
      <c r="Q24" s="5" t="inlineStr">
        <is>
          <t>E1 reautorizar conector v2.53 ate 23/10</t>
        </is>
      </c>
      <c r="R24" s="5" t="inlineStr">
        <is>
          <t>2026-10-23</t>
        </is>
      </c>
      <c r="S24" s="5" t="inlineStr"/>
    </row>
    <row r="25">
      <c r="A25" s="5" t="inlineStr">
        <is>
          <t>Google Ads</t>
        </is>
      </c>
      <c r="B25" s="5" t="inlineStr">
        <is>
          <t>PNEU FORTE DISTRIBUIDORA</t>
        </is>
      </c>
      <c r="C25" s="5" t="inlineStr">
        <is>
          <t>666-695-8748</t>
        </is>
      </c>
      <c r="D25" s="5" t="inlineStr">
        <is>
          <t>Pneu Forte | Distribuidora</t>
        </is>
      </c>
      <c r="E25" s="5" t="inlineStr">
        <is>
          <t>google-ads-0B2k</t>
        </is>
      </c>
      <c r="F25" s="5" t="inlineStr">
        <is>
          <t>1 Funcional — dado ativo</t>
        </is>
      </c>
      <c r="G25" s="5" t="n">
        <v>467</v>
      </c>
      <c r="H25" s="5" t="inlineStr">
        <is>
          <t>2026-10-19</t>
        </is>
      </c>
      <c r="I25" s="5" t="n">
        <v>1223.08</v>
      </c>
      <c r="J25" s="5" t="n">
        <v>1223.08</v>
      </c>
      <c r="K25" s="5" t="n">
        <v>0</v>
      </c>
      <c r="L25" s="5" t="inlineStr">
        <is>
          <t>BRL</t>
        </is>
      </c>
      <c r="M25" s="5" t="inlineStr">
        <is>
          <t>gasto 13/09-12/10</t>
        </is>
      </c>
      <c r="N25" s="5" t="inlineStr"/>
      <c r="O25" s="5" t="inlineStr">
        <is>
          <t>Administrador do MCC Google Ads 170-443-9246 (a confirmar)</t>
        </is>
      </c>
      <c r="P25" s="5" t="inlineStr"/>
      <c r="Q25" s="5" t="inlineStr">
        <is>
          <t>E1 reautorizar conector v2.53 ate 23/10</t>
        </is>
      </c>
      <c r="R25" s="5" t="inlineStr">
        <is>
          <t>2026-10-23</t>
        </is>
      </c>
      <c r="S25" s="5" t="inlineStr"/>
    </row>
    <row r="26">
      <c r="A26" s="5" t="inlineStr">
        <is>
          <t>Google Ads</t>
        </is>
      </c>
      <c r="B26" s="5" t="inlineStr">
        <is>
          <t>PRESTEX</t>
        </is>
      </c>
      <c r="C26" s="5" t="inlineStr">
        <is>
          <t>712-071-7819</t>
        </is>
      </c>
      <c r="D26" s="5" t="inlineStr">
        <is>
          <t>Prestex</t>
        </is>
      </c>
      <c r="E26" s="5" t="inlineStr">
        <is>
          <t>google-ads-OzfZ</t>
        </is>
      </c>
      <c r="F26" s="5" t="inlineStr">
        <is>
          <t>1 Funcional — dado ativo</t>
        </is>
      </c>
      <c r="G26" s="5" t="n">
        <v>827</v>
      </c>
      <c r="H26" s="5" t="inlineStr">
        <is>
          <t>2026-10-12</t>
        </is>
      </c>
      <c r="I26" s="5" t="n"/>
      <c r="J26" s="5" t="n">
        <v>11285.82</v>
      </c>
      <c r="K26" s="5" t="n"/>
      <c r="L26" s="5" t="inlineStr">
        <is>
          <t>BRL</t>
        </is>
      </c>
      <c r="M26" s="5" t="inlineStr">
        <is>
          <t>gasto 13/09-12/10</t>
        </is>
      </c>
      <c r="N26" s="5" t="inlineStr"/>
      <c r="O26" s="5" t="inlineStr">
        <is>
          <t>Administrador do MCC Google Ads 170-443-9246 (a confirmar)</t>
        </is>
      </c>
      <c r="P26" s="5" t="inlineStr"/>
      <c r="Q26" s="5" t="inlineStr">
        <is>
          <t>E1 reautorizar conector v2.53 ate 23/10</t>
        </is>
      </c>
      <c r="R26" s="5" t="inlineStr">
        <is>
          <t>2026-10-21</t>
        </is>
      </c>
      <c r="S26" s="5" t="inlineStr"/>
    </row>
    <row r="27">
      <c r="A27" s="5" t="inlineStr">
        <is>
          <t>Google Ads</t>
        </is>
      </c>
      <c r="B27" s="5" t="inlineStr">
        <is>
          <t>REI DAS MANGUEIRAS</t>
        </is>
      </c>
      <c r="C27" s="5" t="inlineStr">
        <is>
          <t>958-037-9854</t>
        </is>
      </c>
      <c r="D27" s="5" t="inlineStr">
        <is>
          <t>Rei das Mangueiras</t>
        </is>
      </c>
      <c r="E27" s="5" t="inlineStr">
        <is>
          <t>google-ads-PnyV</t>
        </is>
      </c>
      <c r="F27" s="5" t="inlineStr">
        <is>
          <t>1 Funcional — dado ativo</t>
        </is>
      </c>
      <c r="G27" s="5" t="n">
        <v>656</v>
      </c>
      <c r="H27" s="5" t="inlineStr">
        <is>
          <t>2026-10-19</t>
        </is>
      </c>
      <c r="I27" s="5" t="n">
        <v>834.05</v>
      </c>
      <c r="J27" s="5" t="n">
        <v>834.05</v>
      </c>
      <c r="K27" s="5" t="n">
        <v>0</v>
      </c>
      <c r="L27" s="5" t="inlineStr">
        <is>
          <t>BRL</t>
        </is>
      </c>
      <c r="M27" s="5" t="inlineStr">
        <is>
          <t>gasto 13/09-12/10</t>
        </is>
      </c>
      <c r="N27" s="5" t="inlineStr"/>
      <c r="O27" s="5" t="inlineStr">
        <is>
          <t>Administrador do MCC Google Ads 170-443-9246 (a confirmar)</t>
        </is>
      </c>
      <c r="P27" s="5" t="inlineStr"/>
      <c r="Q27" s="5" t="inlineStr">
        <is>
          <t>E1 reautorizar conector v2.53 ate 23/10</t>
        </is>
      </c>
      <c r="R27" s="5" t="inlineStr">
        <is>
          <t>2026-10-23</t>
        </is>
      </c>
      <c r="S27" s="5" t="inlineStr"/>
    </row>
    <row r="28">
      <c r="A28" s="5" t="inlineStr">
        <is>
          <t>Google Ads</t>
        </is>
      </c>
      <c r="B28" s="5" t="inlineStr">
        <is>
          <t>RODRIX</t>
        </is>
      </c>
      <c r="C28" s="5" t="inlineStr">
        <is>
          <t>973-940-7801</t>
        </is>
      </c>
      <c r="D28" s="5" t="inlineStr">
        <is>
          <t>RODRIX MOTOS</t>
        </is>
      </c>
      <c r="E28" s="5" t="inlineStr">
        <is>
          <t>google-ads-rYKp</t>
        </is>
      </c>
      <c r="F28" s="5" t="inlineStr">
        <is>
          <t>1 Funcional — dado ativo</t>
        </is>
      </c>
      <c r="G28" s="5" t="n">
        <v>34</v>
      </c>
      <c r="H28" s="5" t="inlineStr">
        <is>
          <t>2026-10-19</t>
        </is>
      </c>
      <c r="I28" s="5" t="n">
        <v>2492.6</v>
      </c>
      <c r="J28" s="5" t="n">
        <v>2492.6</v>
      </c>
      <c r="K28" s="5" t="n">
        <v>0</v>
      </c>
      <c r="L28" s="5" t="inlineStr">
        <is>
          <t>BRL</t>
        </is>
      </c>
      <c r="M28" s="5" t="inlineStr">
        <is>
          <t>gasto 13/09-12/10</t>
        </is>
      </c>
      <c r="N28" s="5" t="inlineStr"/>
      <c r="O28" s="5" t="inlineStr">
        <is>
          <t>Administrador do MCC Google Ads 170-443-9246 (a confirmar)</t>
        </is>
      </c>
      <c r="P28" s="5" t="inlineStr"/>
      <c r="Q28" s="5" t="inlineStr">
        <is>
          <t>E1 reautorizar conector v2.53 ate 23/10</t>
        </is>
      </c>
      <c r="R28" s="5" t="inlineStr">
        <is>
          <t>2026-10-23</t>
        </is>
      </c>
      <c r="S28" s="5" t="inlineStr"/>
    </row>
    <row r="29">
      <c r="A29" s="5" t="inlineStr">
        <is>
          <t>Google Ads</t>
        </is>
      </c>
      <c r="B29" s="5" t="inlineStr">
        <is>
          <t>ROYAL ENFIELD</t>
        </is>
      </c>
      <c r="C29" s="5" t="inlineStr">
        <is>
          <t>121-447-4505</t>
        </is>
      </c>
      <c r="D29" s="5" t="inlineStr">
        <is>
          <t>ROYAL ENFIELD</t>
        </is>
      </c>
      <c r="E29" s="5" t="inlineStr">
        <is>
          <t>google-ads-SyTu</t>
        </is>
      </c>
      <c r="F29" s="5" t="inlineStr">
        <is>
          <t>1 Funcional — dado ativo</t>
        </is>
      </c>
      <c r="G29" s="5" t="n">
        <v>2817</v>
      </c>
      <c r="H29" s="5" t="inlineStr">
        <is>
          <t>2026-10-19</t>
        </is>
      </c>
      <c r="I29" s="5" t="n">
        <v>1246.57</v>
      </c>
      <c r="J29" s="5" t="n">
        <v>1246.57</v>
      </c>
      <c r="K29" s="5" t="n">
        <v>0</v>
      </c>
      <c r="L29" s="5" t="inlineStr">
        <is>
          <t>BRL</t>
        </is>
      </c>
      <c r="M29" s="5" t="inlineStr">
        <is>
          <t>gasto 13/09-12/10</t>
        </is>
      </c>
      <c r="N29" s="5" t="inlineStr"/>
      <c r="O29" s="5" t="inlineStr">
        <is>
          <t>Nekt (Jussara)</t>
        </is>
      </c>
      <c r="P29" s="5" t="inlineStr"/>
      <c r="Q29" s="5" t="inlineStr">
        <is>
          <t>E1 reautorizar conector v2.53 ate 23/10</t>
        </is>
      </c>
      <c r="R29" s="5" t="inlineStr">
        <is>
          <t>2026-10-20</t>
        </is>
      </c>
      <c r="S29" s="5" t="inlineStr"/>
    </row>
    <row r="30">
      <c r="A30" s="5" t="inlineStr">
        <is>
          <t>Google Ads</t>
        </is>
      </c>
      <c r="B30" s="5" t="inlineStr">
        <is>
          <t>SMILE PNEUS</t>
        </is>
      </c>
      <c r="C30" s="5" t="inlineStr">
        <is>
          <t>139-590-6460</t>
        </is>
      </c>
      <c r="D30" s="5" t="inlineStr">
        <is>
          <t>Pneu Forte l Smile Pneus</t>
        </is>
      </c>
      <c r="E30" s="5" t="inlineStr">
        <is>
          <t>google-ads-Jl1R</t>
        </is>
      </c>
      <c r="F30" s="5" t="inlineStr">
        <is>
          <t>1 Funcional — dado ativo</t>
        </is>
      </c>
      <c r="G30" s="5" t="n">
        <v>8</v>
      </c>
      <c r="H30" s="5" t="inlineStr">
        <is>
          <t>2026-10-19</t>
        </is>
      </c>
      <c r="I30" s="5" t="n">
        <v>0</v>
      </c>
      <c r="J30" s="5" t="n">
        <v>0</v>
      </c>
      <c r="K30" s="5" t="n">
        <v>0</v>
      </c>
      <c r="L30" s="5" t="inlineStr">
        <is>
          <t>BRL</t>
        </is>
      </c>
      <c r="M30" s="5" t="inlineStr">
        <is>
          <t>gasto 13/09-12/10</t>
        </is>
      </c>
      <c r="N30" s="5" t="inlineStr"/>
      <c r="O30" s="5" t="inlineStr">
        <is>
          <t>Administrador do MCC Google Ads 170-443-9246 (a confirmar)</t>
        </is>
      </c>
      <c r="P30" s="5" t="inlineStr"/>
      <c r="Q30" s="5" t="inlineStr">
        <is>
          <t>E1 reautorizar conector v2.53 ate 23/10</t>
        </is>
      </c>
      <c r="R30" s="5" t="inlineStr">
        <is>
          <t>2026-10-23</t>
        </is>
      </c>
      <c r="S30" s="5" t="inlineStr"/>
    </row>
    <row r="31">
      <c r="A31" s="5" t="inlineStr">
        <is>
          <t>Google Ads</t>
        </is>
      </c>
      <c r="B31" s="5" t="inlineStr">
        <is>
          <t>UNIPAR</t>
        </is>
      </c>
      <c r="C31" s="5" t="inlineStr">
        <is>
          <t>191-198-4217</t>
        </is>
      </c>
      <c r="D31" s="5" t="inlineStr">
        <is>
          <t>Parque das Torres</t>
        </is>
      </c>
      <c r="E31" s="5" t="inlineStr">
        <is>
          <t>google-ads-hBlk</t>
        </is>
      </c>
      <c r="F31" s="5" t="inlineStr">
        <is>
          <t>1 Funcional — dado ativo</t>
        </is>
      </c>
      <c r="G31" s="5" t="n">
        <v>1231</v>
      </c>
      <c r="H31" s="5" t="inlineStr">
        <is>
          <t>2026-10-19</t>
        </is>
      </c>
      <c r="I31" s="5" t="n">
        <v>2369.66</v>
      </c>
      <c r="J31" s="5" t="n"/>
      <c r="K31" s="5" t="n"/>
      <c r="L31" s="5" t="inlineStr"/>
      <c r="M31" s="5" t="inlineStr">
        <is>
          <t>gasto 13/09-12/10</t>
        </is>
      </c>
      <c r="N31" s="5" t="inlineStr"/>
      <c r="O31" s="5" t="inlineStr">
        <is>
          <t>Nekt (Jussara)</t>
        </is>
      </c>
      <c r="P31" s="5" t="inlineStr"/>
      <c r="Q31" s="5" t="inlineStr">
        <is>
          <t>E1 reautorizar conector v2.53 ate 23/10</t>
        </is>
      </c>
      <c r="R31" s="5" t="inlineStr">
        <is>
          <t>2026-10-20</t>
        </is>
      </c>
      <c r="S31" s="5" t="inlineStr"/>
    </row>
    <row r="32">
      <c r="A32" s="5" t="inlineStr">
        <is>
          <t>Google Ads</t>
        </is>
      </c>
      <c r="B32" s="5" t="inlineStr">
        <is>
          <t>UNIPAR</t>
        </is>
      </c>
      <c r="C32" s="5" t="inlineStr">
        <is>
          <t>645-156-8997</t>
        </is>
      </c>
      <c r="D32" s="5" t="inlineStr">
        <is>
          <t>Neo Vila</t>
        </is>
      </c>
      <c r="E32" s="5" t="inlineStr">
        <is>
          <t>google-ads-mvUx</t>
        </is>
      </c>
      <c r="F32" s="5" t="inlineStr">
        <is>
          <t>1 Funcional — dado ativo</t>
        </is>
      </c>
      <c r="G32" s="5" t="n">
        <v>1040</v>
      </c>
      <c r="H32" s="5" t="inlineStr">
        <is>
          <t>2026-10-19</t>
        </is>
      </c>
      <c r="I32" s="5" t="n">
        <v>1005.49</v>
      </c>
      <c r="J32" s="5" t="n"/>
      <c r="K32" s="5" t="n"/>
      <c r="L32" s="5" t="inlineStr"/>
      <c r="M32" s="5" t="inlineStr">
        <is>
          <t>gasto 13/09-12/10</t>
        </is>
      </c>
      <c r="N32" s="5" t="inlineStr"/>
      <c r="O32" s="5" t="inlineStr">
        <is>
          <t>Nekt (Jussara)</t>
        </is>
      </c>
      <c r="P32" s="5" t="inlineStr"/>
      <c r="Q32" s="5" t="inlineStr">
        <is>
          <t>E1 reautorizar conector v2.53 ate 23/10</t>
        </is>
      </c>
      <c r="R32" s="5" t="inlineStr">
        <is>
          <t>2026-10-20</t>
        </is>
      </c>
      <c r="S32" s="5" t="inlineStr"/>
    </row>
    <row r="33">
      <c r="A33" s="5" t="inlineStr">
        <is>
          <t>Google Ads</t>
        </is>
      </c>
      <c r="B33" s="5" t="inlineStr">
        <is>
          <t>UNIPAR</t>
        </is>
      </c>
      <c r="C33" s="5" t="inlineStr">
        <is>
          <t>308-342-8472</t>
        </is>
      </c>
      <c r="D33" s="5" t="inlineStr">
        <is>
          <t>Boa Vista</t>
        </is>
      </c>
      <c r="E33" s="5" t="inlineStr">
        <is>
          <t>google-ads-3eFc</t>
        </is>
      </c>
      <c r="F33" s="5" t="inlineStr">
        <is>
          <t>1 Funcional — dado ativo</t>
        </is>
      </c>
      <c r="G33" s="5" t="n">
        <v>946</v>
      </c>
      <c r="H33" s="5" t="inlineStr">
        <is>
          <t>2026-10-19</t>
        </is>
      </c>
      <c r="I33" s="5" t="n">
        <v>1217.4</v>
      </c>
      <c r="J33" s="5" t="n"/>
      <c r="K33" s="5" t="n"/>
      <c r="L33" s="5" t="inlineStr"/>
      <c r="M33" s="5" t="inlineStr">
        <is>
          <t>gasto 13/09-12/10</t>
        </is>
      </c>
      <c r="N33" s="5" t="inlineStr"/>
      <c r="O33" s="5" t="inlineStr">
        <is>
          <t>Nekt (Jussara)</t>
        </is>
      </c>
      <c r="P33" s="5" t="inlineStr"/>
      <c r="Q33" s="5" t="inlineStr">
        <is>
          <t>E1 reautorizar conector v2.53 ate 23/10</t>
        </is>
      </c>
      <c r="R33" s="5" t="inlineStr">
        <is>
          <t>2026-10-20</t>
        </is>
      </c>
      <c r="S33" s="5" t="inlineStr"/>
    </row>
    <row r="34">
      <c r="A34" s="5" t="inlineStr">
        <is>
          <t>Google Ads</t>
        </is>
      </c>
      <c r="B34" s="5" t="inlineStr">
        <is>
          <t>AMAZONCOPY</t>
        </is>
      </c>
      <c r="C34" s="5" t="inlineStr">
        <is>
          <t>888-702-2182</t>
        </is>
      </c>
      <c r="D34" s="5" t="inlineStr">
        <is>
          <t>Amazoncopy</t>
        </is>
      </c>
      <c r="E34" s="5" t="inlineStr">
        <is>
          <t>google-ads-fwxw</t>
        </is>
      </c>
      <c r="F34" s="5" t="inlineStr">
        <is>
          <t>2 Funcional — conta parada (leitura confirmada)</t>
        </is>
      </c>
      <c r="G34" s="5" t="n">
        <v>378</v>
      </c>
      <c r="H34" s="5" t="inlineStr">
        <is>
          <t>2025-11-26</t>
        </is>
      </c>
      <c r="I34" s="5" t="n">
        <v>0</v>
      </c>
      <c r="J34" s="5" t="n">
        <v>0</v>
      </c>
      <c r="K34" s="5" t="n">
        <v>0</v>
      </c>
      <c r="L34" s="5" t="inlineStr">
        <is>
          <t>BRL</t>
        </is>
      </c>
      <c r="M34" s="5" t="inlineStr">
        <is>
          <t>gasto 13/09-12/10</t>
        </is>
      </c>
      <c r="N34" s="5" t="inlineStr"/>
      <c r="O34" s="5" t="inlineStr">
        <is>
          <t>Administrador do MCC Google Ads 170-443-9246 (a confirmar)</t>
        </is>
      </c>
      <c r="P34" s="5" t="inlineStr"/>
      <c r="Q34" s="5" t="inlineStr">
        <is>
          <t>E1 reautorizar conector v2.53 ate 23/10</t>
        </is>
      </c>
      <c r="R34" s="5" t="inlineStr">
        <is>
          <t>2026-10-23</t>
        </is>
      </c>
      <c r="S34" s="5" t="inlineStr"/>
    </row>
    <row r="35">
      <c r="A35" s="5" t="inlineStr">
        <is>
          <t>Google Ads</t>
        </is>
      </c>
      <c r="B35" s="5" t="inlineStr">
        <is>
          <t>BRAGA PÓS VENDAS</t>
        </is>
      </c>
      <c r="C35" s="5" t="inlineStr">
        <is>
          <t>180-732-5368</t>
        </is>
      </c>
      <c r="D35" s="5" t="inlineStr">
        <is>
          <t>BRAGA VEÍCULOS PÓS VENDAS</t>
        </is>
      </c>
      <c r="E35" s="5" t="inlineStr">
        <is>
          <t>google-ads-PsES</t>
        </is>
      </c>
      <c r="F35" s="5" t="inlineStr">
        <is>
          <t>2 Funcional — conta parada (leitura confirmada)</t>
        </is>
      </c>
      <c r="G35" s="5" t="n">
        <v>1656</v>
      </c>
      <c r="H35" s="5" t="inlineStr">
        <is>
          <t>2026-07-23</t>
        </is>
      </c>
      <c r="I35" s="5" t="n">
        <v>0</v>
      </c>
      <c r="J35" s="5" t="n">
        <v>0</v>
      </c>
      <c r="K35" s="5" t="n">
        <v>0</v>
      </c>
      <c r="L35" s="5" t="inlineStr">
        <is>
          <t>BRL</t>
        </is>
      </c>
      <c r="M35" s="5" t="inlineStr">
        <is>
          <t>gasto 13/09-12/10</t>
        </is>
      </c>
      <c r="N35" s="5" t="inlineStr"/>
      <c r="O35" s="5" t="inlineStr">
        <is>
          <t>Nekt (Jussara)</t>
        </is>
      </c>
      <c r="P35" s="5" t="inlineStr"/>
      <c r="Q35" s="5" t="inlineStr">
        <is>
          <t>E1 reautorizar conector v2.53 ate 23/10</t>
        </is>
      </c>
      <c r="R35" s="5" t="inlineStr">
        <is>
          <t>2026-10-20</t>
        </is>
      </c>
      <c r="S35" s="5" t="inlineStr"/>
    </row>
    <row r="36">
      <c r="A36" s="5" t="inlineStr">
        <is>
          <t>Google Ads</t>
        </is>
      </c>
      <c r="B36" s="5" t="inlineStr">
        <is>
          <t>BRAGA VAREJO</t>
        </is>
      </c>
      <c r="C36" s="5" t="inlineStr">
        <is>
          <t>843-763-2791</t>
        </is>
      </c>
      <c r="D36" s="5" t="inlineStr">
        <is>
          <t>Braga Motomarcas</t>
        </is>
      </c>
      <c r="E36" s="5" t="inlineStr">
        <is>
          <t>google-ads-PmFB</t>
        </is>
      </c>
      <c r="F36" s="5" t="inlineStr">
        <is>
          <t>2 Funcional — conta parada (leitura confirmada)</t>
        </is>
      </c>
      <c r="G36" s="5" t="n">
        <v>1109</v>
      </c>
      <c r="H36" s="5" t="inlineStr">
        <is>
          <t>2025-08-30</t>
        </is>
      </c>
      <c r="I36" s="5" t="n">
        <v>0</v>
      </c>
      <c r="J36" s="5" t="n">
        <v>0</v>
      </c>
      <c r="K36" s="5" t="n">
        <v>0</v>
      </c>
      <c r="L36" s="5" t="inlineStr">
        <is>
          <t>BRL</t>
        </is>
      </c>
      <c r="M36" s="5" t="inlineStr">
        <is>
          <t>gasto 13/09-12/10</t>
        </is>
      </c>
      <c r="N36" s="5" t="inlineStr"/>
      <c r="O36" s="5" t="inlineStr">
        <is>
          <t>Nekt (Jussara)</t>
        </is>
      </c>
      <c r="P36" s="5" t="inlineStr"/>
      <c r="Q36" s="5" t="inlineStr">
        <is>
          <t>E1 reautorizar conector v2.53 ate 23/10</t>
        </is>
      </c>
      <c r="R36" s="5" t="inlineStr">
        <is>
          <t>2026-10-20</t>
        </is>
      </c>
      <c r="S36" s="5" t="inlineStr"/>
    </row>
    <row r="37">
      <c r="A37" s="5" t="inlineStr">
        <is>
          <t>Google Ads</t>
        </is>
      </c>
      <c r="B37" s="5" t="inlineStr">
        <is>
          <t>DEB TRANSPORTADORA</t>
        </is>
      </c>
      <c r="C37" s="5" t="inlineStr">
        <is>
          <t>403-235-5891</t>
        </is>
      </c>
      <c r="D37" s="5" t="inlineStr">
        <is>
          <t>DEB Transportes</t>
        </is>
      </c>
      <c r="E37" s="5" t="inlineStr">
        <is>
          <t>google-ads-C4Aq</t>
        </is>
      </c>
      <c r="F37" s="5" t="inlineStr">
        <is>
          <t>2 Funcional — conta parada (leitura confirmada)</t>
        </is>
      </c>
      <c r="G37" s="5" t="n">
        <v>68</v>
      </c>
      <c r="H37" s="5" t="inlineStr">
        <is>
          <t>2026-10-01</t>
        </is>
      </c>
      <c r="I37" s="5" t="n">
        <v>0</v>
      </c>
      <c r="J37" s="5" t="n">
        <v>0</v>
      </c>
      <c r="K37" s="5" t="n">
        <v>0</v>
      </c>
      <c r="L37" s="5" t="inlineStr">
        <is>
          <t>BRL</t>
        </is>
      </c>
      <c r="M37" s="5" t="inlineStr">
        <is>
          <t>gasto 13/09-12/10</t>
        </is>
      </c>
      <c r="N37" s="5" t="inlineStr"/>
      <c r="O37" s="5" t="inlineStr">
        <is>
          <t>Administrador do MCC Google Ads 170-443-9246 (a confirmar)</t>
        </is>
      </c>
      <c r="P37" s="5" t="inlineStr"/>
      <c r="Q37" s="5" t="inlineStr">
        <is>
          <t>E1 reautorizar conector v2.53 ate 23/10</t>
        </is>
      </c>
      <c r="R37" s="5" t="inlineStr">
        <is>
          <t>2026-10-23</t>
        </is>
      </c>
      <c r="S37" s="5" t="inlineStr"/>
    </row>
    <row r="38">
      <c r="A38" s="5" t="inlineStr">
        <is>
          <t>Google Ads</t>
        </is>
      </c>
      <c r="B38" s="5" t="inlineStr">
        <is>
          <t>DMELLO (TEMPO DAS TINTAS)</t>
        </is>
      </c>
      <c r="C38" s="5" t="inlineStr">
        <is>
          <t>331-057-9239</t>
        </is>
      </c>
      <c r="D38" s="5" t="inlineStr">
        <is>
          <t>Dmello Tempo das Tintas</t>
        </is>
      </c>
      <c r="E38" s="5" t="inlineStr">
        <is>
          <t>google-ads-URNQ</t>
        </is>
      </c>
      <c r="F38" s="5" t="inlineStr">
        <is>
          <t>2 Funcional — conta parada (leitura confirmada)</t>
        </is>
      </c>
      <c r="G38" s="5" t="n">
        <v>87</v>
      </c>
      <c r="H38" s="5" t="inlineStr">
        <is>
          <t>2026-08-24</t>
        </is>
      </c>
      <c r="I38" s="5" t="n">
        <v>0</v>
      </c>
      <c r="J38" s="5" t="n">
        <v>0</v>
      </c>
      <c r="K38" s="5" t="n">
        <v>0</v>
      </c>
      <c r="L38" s="5" t="inlineStr">
        <is>
          <t>BRL</t>
        </is>
      </c>
      <c r="M38" s="5" t="inlineStr">
        <is>
          <t>gasto 13/09-12/10</t>
        </is>
      </c>
      <c r="N38" s="5" t="inlineStr"/>
      <c r="O38" s="5" t="inlineStr">
        <is>
          <t>Admin do MCC (reautorizacao v2.53)</t>
        </is>
      </c>
      <c r="P38" s="5" t="inlineStr"/>
      <c r="Q38" s="5" t="inlineStr">
        <is>
          <t>E1 reautorizar conector v2.53 ate 23/10</t>
        </is>
      </c>
      <c r="R38" s="5" t="inlineStr">
        <is>
          <t>2026-10-23</t>
        </is>
      </c>
      <c r="S38" s="5" t="inlineStr">
        <is>
          <t>Linha acrescentada em 15/10: a fonte existia e nao constava da planilha.</t>
        </is>
      </c>
    </row>
    <row r="39">
      <c r="A39" s="5" t="inlineStr">
        <is>
          <t>Google Ads</t>
        </is>
      </c>
      <c r="B39" s="5" t="inlineStr">
        <is>
          <t>DON WATCHES (conta 1)</t>
        </is>
      </c>
      <c r="C39" s="5" t="inlineStr">
        <is>
          <t>855-373-3895</t>
        </is>
      </c>
      <c r="D39" s="5" t="inlineStr">
        <is>
          <t>Don Watches - Ativa</t>
        </is>
      </c>
      <c r="E39" s="5" t="inlineStr">
        <is>
          <t>google-ads-vE2C</t>
        </is>
      </c>
      <c r="F39" s="5" t="inlineStr">
        <is>
          <t>2 Funcional — conta parada (leitura confirmada)</t>
        </is>
      </c>
      <c r="G39" s="5" t="n">
        <v>0</v>
      </c>
      <c r="H39" s="5" t="inlineStr"/>
      <c r="I39" s="5" t="n"/>
      <c r="J39" s="5" t="n">
        <v>0</v>
      </c>
      <c r="K39" s="5" t="n"/>
      <c r="L39" s="5" t="inlineStr">
        <is>
          <t>BRL</t>
        </is>
      </c>
      <c r="M39" s="5" t="inlineStr">
        <is>
          <t>gasto 13/09-12/10</t>
        </is>
      </c>
      <c r="N39" s="5" t="inlineStr"/>
      <c r="O39" s="5" t="inlineStr">
        <is>
          <t>AM (Silvia Calderaro)</t>
        </is>
      </c>
      <c r="P39" s="5" t="inlineStr"/>
      <c r="Q39" s="5" t="inlineStr">
        <is>
          <t>E1 reautorizar conector v2.53 ate 23/10</t>
        </is>
      </c>
      <c r="R39" s="5" t="inlineStr"/>
      <c r="S39" s="5" t="inlineStr">
        <is>
          <t>Candidata a encerrar (validar com AM)</t>
        </is>
      </c>
    </row>
    <row r="40">
      <c r="A40" s="5" t="inlineStr">
        <is>
          <t>Google Ads</t>
        </is>
      </c>
      <c r="B40" s="5" t="inlineStr">
        <is>
          <t>DON WATCHES (conta 2)</t>
        </is>
      </c>
      <c r="C40" s="5" t="inlineStr">
        <is>
          <t>945-172-6644</t>
        </is>
      </c>
      <c r="D40" s="5" t="inlineStr">
        <is>
          <t>Don Watches - Ativa Validada</t>
        </is>
      </c>
      <c r="E40" s="5" t="inlineStr">
        <is>
          <t>google-ads-QuKh</t>
        </is>
      </c>
      <c r="F40" s="5" t="inlineStr">
        <is>
          <t>2 Funcional — conta parada (leitura confirmada)</t>
        </is>
      </c>
      <c r="G40" s="5" t="n">
        <v>107</v>
      </c>
      <c r="H40" s="5" t="inlineStr">
        <is>
          <t>2026-08-22</t>
        </is>
      </c>
      <c r="I40" s="5" t="n">
        <v>0</v>
      </c>
      <c r="J40" s="5" t="n">
        <v>0</v>
      </c>
      <c r="K40" s="5" t="n">
        <v>0</v>
      </c>
      <c r="L40" s="5" t="inlineStr">
        <is>
          <t>BRL</t>
        </is>
      </c>
      <c r="M40" s="5" t="inlineStr">
        <is>
          <t>gasto 13/09-12/10</t>
        </is>
      </c>
      <c r="N40" s="5" t="inlineStr"/>
      <c r="O40" s="5" t="inlineStr">
        <is>
          <t>Administrador do MCC Google Ads 170-443-9246 (a confirmar)</t>
        </is>
      </c>
      <c r="P40" s="5" t="inlineStr"/>
      <c r="Q40" s="5" t="inlineStr">
        <is>
          <t>E1 reautorizar conector v2.53 ate 23/10</t>
        </is>
      </c>
      <c r="R40" s="5" t="inlineStr">
        <is>
          <t>2026-10-23</t>
        </is>
      </c>
      <c r="S40" s="5" t="inlineStr"/>
    </row>
    <row r="41">
      <c r="A41" s="5" t="inlineStr">
        <is>
          <t>Google Ads</t>
        </is>
      </c>
      <c r="B41" s="5" t="inlineStr">
        <is>
          <t>DR. CABRAL (conta 1)</t>
        </is>
      </c>
      <c r="C41" s="5" t="inlineStr">
        <is>
          <t>738-192-0209</t>
        </is>
      </c>
      <c r="D41" s="5" t="inlineStr">
        <is>
          <t>Dr. Cabral</t>
        </is>
      </c>
      <c r="E41" s="5" t="inlineStr">
        <is>
          <t>google-ads-wypN</t>
        </is>
      </c>
      <c r="F41" s="5" t="inlineStr">
        <is>
          <t>2 Funcional — conta parada (leitura confirmada)</t>
        </is>
      </c>
      <c r="G41" s="5" t="n">
        <v>0</v>
      </c>
      <c r="H41" s="5" t="inlineStr"/>
      <c r="I41" s="5" t="n"/>
      <c r="J41" s="5" t="n">
        <v>0</v>
      </c>
      <c r="K41" s="5" t="n"/>
      <c r="L41" s="5" t="inlineStr">
        <is>
          <t>BRL</t>
        </is>
      </c>
      <c r="M41" s="5" t="inlineStr">
        <is>
          <t>gasto 13/09-12/10</t>
        </is>
      </c>
      <c r="N41" s="5" t="inlineStr"/>
      <c r="O41" s="5" t="inlineStr">
        <is>
          <t>Administrador do MCC Google Ads 170-443-9246 (a confirmar)</t>
        </is>
      </c>
      <c r="P41" s="5" t="inlineStr"/>
      <c r="Q41" s="5" t="inlineStr">
        <is>
          <t>E1 reautorizar conector v2.53 ate 23/10</t>
        </is>
      </c>
      <c r="R41" s="5" t="inlineStr">
        <is>
          <t>2026-10-21</t>
        </is>
      </c>
      <c r="S41" s="5" t="inlineStr">
        <is>
          <t>Candidata a encerrar (validar com AM)</t>
        </is>
      </c>
    </row>
    <row r="42">
      <c r="A42" s="5" t="inlineStr">
        <is>
          <t>Google Ads</t>
        </is>
      </c>
      <c r="B42" s="5" t="inlineStr">
        <is>
          <t>STEEL PORT</t>
        </is>
      </c>
      <c r="C42" s="5" t="inlineStr">
        <is>
          <t>987-090-1843</t>
        </is>
      </c>
      <c r="D42" s="5" t="inlineStr">
        <is>
          <t>Steel Port Am</t>
        </is>
      </c>
      <c r="E42" s="5" t="inlineStr">
        <is>
          <t>google-ads-x20o</t>
        </is>
      </c>
      <c r="F42" s="5" t="inlineStr">
        <is>
          <t>2 Funcional — conta parada (leitura confirmada)</t>
        </is>
      </c>
      <c r="G42" s="5" t="n">
        <v>42</v>
      </c>
      <c r="H42" s="5" t="inlineStr">
        <is>
          <t>2026-03-27</t>
        </is>
      </c>
      <c r="I42" s="5" t="n">
        <v>0</v>
      </c>
      <c r="J42" s="5" t="n">
        <v>0</v>
      </c>
      <c r="K42" s="5" t="n">
        <v>0</v>
      </c>
      <c r="L42" s="5" t="inlineStr">
        <is>
          <t>BRL</t>
        </is>
      </c>
      <c r="M42" s="5" t="inlineStr">
        <is>
          <t>gasto 13/09-12/10</t>
        </is>
      </c>
      <c r="N42" s="5" t="inlineStr"/>
      <c r="O42" s="5" t="inlineStr">
        <is>
          <t>Administrador do MCC Google Ads 170-443-9246 (a confirmar)</t>
        </is>
      </c>
      <c r="P42" s="5" t="inlineStr"/>
      <c r="Q42" s="5" t="inlineStr">
        <is>
          <t>E1 reautorizar conector v2.53 ate 23/10</t>
        </is>
      </c>
      <c r="R42" s="5" t="inlineStr">
        <is>
          <t>2026-10-23</t>
        </is>
      </c>
      <c r="S42" s="5" t="inlineStr"/>
    </row>
    <row r="43">
      <c r="A43" s="5" t="inlineStr">
        <is>
          <t>Google Ads</t>
        </is>
      </c>
      <c r="B43" s="5" t="inlineStr">
        <is>
          <t>AÇO MANAUS</t>
        </is>
      </c>
      <c r="C43" s="5" t="inlineStr">
        <is>
          <t>514-135-8700</t>
        </is>
      </c>
      <c r="D43" s="5" t="inlineStr">
        <is>
          <t>Aço Manaus</t>
        </is>
      </c>
      <c r="E43" s="5" t="inlineStr">
        <is>
          <t>google-ads-DhJv</t>
        </is>
      </c>
      <c r="F43" s="5" t="inlineStr">
        <is>
          <t>4 Pendente</t>
        </is>
      </c>
      <c r="G43" s="5" t="n"/>
      <c r="H43" s="5" t="inlineStr"/>
      <c r="I43" s="5" t="n"/>
      <c r="J43" s="5" t="n">
        <v>1366.26</v>
      </c>
      <c r="K43" s="5" t="n"/>
      <c r="L43" s="5" t="inlineStr">
        <is>
          <t>BRL</t>
        </is>
      </c>
      <c r="M43" s="5" t="inlineStr">
        <is>
          <t>gasto 13/09-12/10</t>
        </is>
      </c>
      <c r="N43" s="5" t="inlineStr">
        <is>
          <t>Conta sem fonte na Nekt hoje</t>
        </is>
      </c>
      <c r="O43" s="5" t="inlineStr">
        <is>
          <t>Account Manager (confirmar se a conta ainda é cliente)</t>
        </is>
      </c>
      <c r="P43" s="5" t="inlineStr">
        <is>
          <t>P1</t>
        </is>
      </c>
      <c r="Q43" s="5" t="inlineStr">
        <is>
          <t>E2 publicar rascunho</t>
        </is>
      </c>
      <c r="R43" s="5" t="inlineStr">
        <is>
          <t>2026-10-21</t>
        </is>
      </c>
      <c r="S43" s="5" t="inlineStr"/>
    </row>
    <row r="44">
      <c r="A44" s="5" t="inlineStr">
        <is>
          <t>Google Ads</t>
        </is>
      </c>
      <c r="B44" s="5" t="inlineStr">
        <is>
          <t>BRAGA MOTORS BMW</t>
        </is>
      </c>
      <c r="C44" s="5" t="inlineStr">
        <is>
          <t>432-609-6939</t>
        </is>
      </c>
      <c r="D44" s="5" t="inlineStr">
        <is>
          <t>BRAGA MOTORS - CARRO</t>
        </is>
      </c>
      <c r="E44" s="5" t="inlineStr">
        <is>
          <t>google-ads-H4oR</t>
        </is>
      </c>
      <c r="F44" s="5" t="inlineStr">
        <is>
          <t>4 Pendente</t>
        </is>
      </c>
      <c r="G44" s="5" t="n"/>
      <c r="H44" s="5" t="inlineStr"/>
      <c r="I44" s="5" t="n"/>
      <c r="J44" s="5" t="n">
        <v>27.39</v>
      </c>
      <c r="K44" s="5" t="n"/>
      <c r="L44" s="5" t="inlineStr">
        <is>
          <t>BRL</t>
        </is>
      </c>
      <c r="M44" s="5" t="inlineStr">
        <is>
          <t>gasto 13/09-12/10</t>
        </is>
      </c>
      <c r="N44" s="5" t="inlineStr">
        <is>
          <t>Conta sem fonte na Nekt hoje</t>
        </is>
      </c>
      <c r="O44" s="5" t="inlineStr">
        <is>
          <t>Account Manager (confirmar se a conta ainda é cliente)</t>
        </is>
      </c>
      <c r="P44" s="5" t="inlineStr">
        <is>
          <t>P2</t>
        </is>
      </c>
      <c r="Q44" s="5" t="inlineStr">
        <is>
          <t>E2 publicar rascunho</t>
        </is>
      </c>
      <c r="R44" s="5" t="inlineStr">
        <is>
          <t>2026-10-21</t>
        </is>
      </c>
      <c r="S44" s="5" t="inlineStr"/>
    </row>
    <row r="45">
      <c r="A45" s="5" t="inlineStr">
        <is>
          <t>Google Ads</t>
        </is>
      </c>
      <c r="B45" s="5" t="inlineStr">
        <is>
          <t>PNEU FORTE VAREJO</t>
        </is>
      </c>
      <c r="C45" s="5" t="inlineStr">
        <is>
          <t>399-828-7431</t>
        </is>
      </c>
      <c r="D45" s="5" t="inlineStr">
        <is>
          <t>Pneu Forte | Varejo</t>
        </is>
      </c>
      <c r="E45" s="5" t="inlineStr">
        <is>
          <t>google-ads-H3hJ</t>
        </is>
      </c>
      <c r="F45" s="5" t="inlineStr">
        <is>
          <t>4 Pendente</t>
        </is>
      </c>
      <c r="G45" s="5" t="n"/>
      <c r="H45" s="5" t="inlineStr"/>
      <c r="I45" s="5" t="n"/>
      <c r="J45" s="5" t="n">
        <v>768.29</v>
      </c>
      <c r="K45" s="5" t="n"/>
      <c r="L45" s="5" t="inlineStr">
        <is>
          <t>BRL</t>
        </is>
      </c>
      <c r="M45" s="5" t="inlineStr">
        <is>
          <t>gasto 13/09-12/10</t>
        </is>
      </c>
      <c r="N45" s="5" t="inlineStr">
        <is>
          <t>OAuth com usuário Google que administra o MCC</t>
        </is>
      </c>
      <c r="O45" s="5" t="inlineStr">
        <is>
          <t>Administrador do MCC Google Ads 170-443-9246 (a confirmar)</t>
        </is>
      </c>
      <c r="P45" s="5" t="inlineStr">
        <is>
          <t>P2</t>
        </is>
      </c>
      <c r="Q45" s="5" t="inlineStr">
        <is>
          <t>E2 publicar rascunho</t>
        </is>
      </c>
      <c r="R45" s="5" t="inlineStr">
        <is>
          <t>2026-10-21</t>
        </is>
      </c>
      <c r="S45" s="5" t="inlineStr"/>
    </row>
    <row r="46">
      <c r="A46" s="5" t="inlineStr">
        <is>
          <t>Google Ads</t>
        </is>
      </c>
      <c r="B46" s="5" t="inlineStr">
        <is>
          <t>TUBOAÇOS DA AMAZÔNIA</t>
        </is>
      </c>
      <c r="C46" s="5" t="inlineStr">
        <is>
          <t>752-297-1952</t>
        </is>
      </c>
      <c r="D46" s="5" t="inlineStr">
        <is>
          <t>Tuboaços Da Amazônia</t>
        </is>
      </c>
      <c r="E46" s="5" t="inlineStr">
        <is>
          <t>google-ads-1pe8</t>
        </is>
      </c>
      <c r="F46" s="5" t="inlineStr">
        <is>
          <t>4 Pendente</t>
        </is>
      </c>
      <c r="G46" s="5" t="n"/>
      <c r="H46" s="5" t="inlineStr"/>
      <c r="I46" s="5" t="n"/>
      <c r="J46" s="5" t="n">
        <v>174.46</v>
      </c>
      <c r="K46" s="5" t="n"/>
      <c r="L46" s="5" t="inlineStr">
        <is>
          <t>BRL</t>
        </is>
      </c>
      <c r="M46" s="5" t="inlineStr">
        <is>
          <t>gasto 13/09-12/10</t>
        </is>
      </c>
      <c r="N46" s="5" t="inlineStr">
        <is>
          <t>Conta sem fonte na Nekt hoje</t>
        </is>
      </c>
      <c r="O46" s="5" t="inlineStr">
        <is>
          <t>Account Manager (confirmar se a conta ainda é cliente)</t>
        </is>
      </c>
      <c r="P46" s="5" t="inlineStr">
        <is>
          <t>P2</t>
        </is>
      </c>
      <c r="Q46" s="5" t="inlineStr">
        <is>
          <t>E2 publicar rascunho</t>
        </is>
      </c>
      <c r="R46" s="5" t="inlineStr">
        <is>
          <t>2026-10-21</t>
        </is>
      </c>
      <c r="S46" s="5" t="inlineStr"/>
    </row>
    <row r="47">
      <c r="A47" s="5" t="inlineStr">
        <is>
          <t>Google Ads</t>
        </is>
      </c>
      <c r="B47" s="5" t="inlineStr">
        <is>
          <t>VANGUARDA COMUNICAÇÃO (conta própria)</t>
        </is>
      </c>
      <c r="C47" s="5" t="inlineStr">
        <is>
          <t>750-265-3880</t>
        </is>
      </c>
      <c r="D47" s="5" t="inlineStr">
        <is>
          <t>Vanguarda</t>
        </is>
      </c>
      <c r="E47" s="5" t="inlineStr"/>
      <c r="F47" s="5" t="inlineStr">
        <is>
          <t>4 Pendente</t>
        </is>
      </c>
      <c r="G47" s="5" t="n"/>
      <c r="H47" s="5" t="inlineStr"/>
      <c r="I47" s="5" t="n"/>
      <c r="J47" s="5" t="n">
        <v>161.26</v>
      </c>
      <c r="K47" s="5" t="n"/>
      <c r="L47" s="5" t="inlineStr">
        <is>
          <t>BRL</t>
        </is>
      </c>
      <c r="M47" s="5" t="inlineStr">
        <is>
          <t>gasto 13/09-12/10</t>
        </is>
      </c>
      <c r="N47" s="5" t="inlineStr">
        <is>
          <t>Conta propria da agencia com gasto e sem fonte; decidir se entra (a Meta da Vanguarda ja entra)</t>
        </is>
      </c>
      <c r="O47" s="5" t="inlineStr">
        <is>
          <t>Admin do MCC / Jussara</t>
        </is>
      </c>
      <c r="P47" s="5" t="inlineStr">
        <is>
          <t>P2</t>
        </is>
      </c>
      <c r="Q47" s="5" t="inlineStr">
        <is>
          <t>E2 publicar rascunho</t>
        </is>
      </c>
      <c r="R47" s="5" t="inlineStr">
        <is>
          <t>2026-10-23</t>
        </is>
      </c>
      <c r="S47" s="5" t="inlineStr">
        <is>
          <t>Linha acrescentada em 15/10 apos cruzar as 85 contas do MCC.</t>
        </is>
      </c>
    </row>
    <row r="48">
      <c r="A48" s="5" t="inlineStr">
        <is>
          <t>Google Ads</t>
        </is>
      </c>
      <c r="B48" s="5" t="inlineStr">
        <is>
          <t>BRAGA VENDA DIRETA</t>
        </is>
      </c>
      <c r="C48" s="5" t="inlineStr">
        <is>
          <t>580-542-7544</t>
        </is>
      </c>
      <c r="D48" s="5" t="inlineStr">
        <is>
          <t>Braga venda direta</t>
        </is>
      </c>
      <c r="E48" s="5" t="inlineStr">
        <is>
          <t>—</t>
        </is>
      </c>
      <c r="F48" s="5" t="inlineStr">
        <is>
          <t>5 Bloqueada</t>
        </is>
      </c>
      <c r="G48" s="5" t="n"/>
      <c r="H48" s="5" t="inlineStr"/>
      <c r="I48" s="5" t="n"/>
      <c r="J48" s="5" t="n"/>
      <c r="K48" s="5" t="n"/>
      <c r="L48" s="5" t="inlineStr"/>
      <c r="M48" s="5" t="inlineStr">
        <is>
          <t>gasto 13/09-12/10</t>
        </is>
      </c>
      <c r="N48" s="5" t="inlineStr">
        <is>
          <t>Conta não vinculada ao MCC da Vanguarda ou ID divergente</t>
        </is>
      </c>
      <c r="O48" s="5" t="inlineStr">
        <is>
          <t>João (confirmar ID) + Administrador do MCC Google Ads 170-443-9246 (a confirmar)</t>
        </is>
      </c>
      <c r="P48" s="5" t="inlineStr">
        <is>
          <t>P2</t>
        </is>
      </c>
      <c r="Q48" s="5" t="inlineStr">
        <is>
          <t>E1 desbloquear</t>
        </is>
      </c>
      <c r="R48" s="5" t="inlineStr">
        <is>
          <t>2026-10-21</t>
        </is>
      </c>
      <c r="S48" s="5" t="inlineStr"/>
    </row>
    <row r="49">
      <c r="A49" s="5" t="inlineStr">
        <is>
          <t>Google Ads</t>
        </is>
      </c>
      <c r="B49" s="5" t="inlineStr">
        <is>
          <t>CDL MANAUS</t>
        </is>
      </c>
      <c r="C49" s="5" t="inlineStr">
        <is>
          <t>661-855-7333</t>
        </is>
      </c>
      <c r="D49" s="5" t="inlineStr">
        <is>
          <t>Cdl Manaus</t>
        </is>
      </c>
      <c r="E49" s="5" t="inlineStr">
        <is>
          <t>google-ads-zksL</t>
        </is>
      </c>
      <c r="F49" s="5" t="inlineStr">
        <is>
          <t>5 Bloqueada</t>
        </is>
      </c>
      <c r="G49" s="5" t="n"/>
      <c r="H49" s="5" t="inlineStr"/>
      <c r="I49" s="5" t="n"/>
      <c r="J49" s="5" t="n">
        <v>536.96</v>
      </c>
      <c r="K49" s="5" t="n"/>
      <c r="L49" s="5" t="inlineStr">
        <is>
          <t>BRL</t>
        </is>
      </c>
      <c r="M49" s="5" t="inlineStr">
        <is>
          <t>gasto 13/09-12/10</t>
        </is>
      </c>
      <c r="N49" s="5" t="inlineStr">
        <is>
          <t>Conta sem fonte na Nekt hoje</t>
        </is>
      </c>
      <c r="O49" s="5" t="inlineStr">
        <is>
          <t>Account Manager (confirmar se a conta ainda é cliente)</t>
        </is>
      </c>
      <c r="P49" s="5" t="inlineStr">
        <is>
          <t>P2</t>
        </is>
      </c>
      <c r="Q49" s="5" t="inlineStr">
        <is>
          <t>E1 desbloquear</t>
        </is>
      </c>
      <c r="R49" s="5" t="inlineStr">
        <is>
          <t>2026-10-21</t>
        </is>
      </c>
      <c r="S49" s="5" t="inlineStr"/>
    </row>
    <row r="50">
      <c r="A50" s="5" t="inlineStr">
        <is>
          <t>Google Ads</t>
        </is>
      </c>
      <c r="B50" s="5" t="inlineStr">
        <is>
          <t>COMAC</t>
        </is>
      </c>
      <c r="C50" s="5" t="inlineStr">
        <is>
          <t>306-130-0045</t>
        </is>
      </c>
      <c r="D50" s="5" t="inlineStr">
        <is>
          <t>Comac</t>
        </is>
      </c>
      <c r="E50" s="5" t="inlineStr">
        <is>
          <t>—</t>
        </is>
      </c>
      <c r="F50" s="5" t="inlineStr">
        <is>
          <t>5 Bloqueada</t>
        </is>
      </c>
      <c r="G50" s="5" t="n"/>
      <c r="H50" s="5" t="inlineStr"/>
      <c r="I50" s="5" t="n"/>
      <c r="J50" s="5" t="n"/>
      <c r="K50" s="5" t="n"/>
      <c r="L50" s="5" t="inlineStr"/>
      <c r="M50" s="5" t="inlineStr">
        <is>
          <t>gasto 13/09-12/10</t>
        </is>
      </c>
      <c r="N50" s="5" t="inlineStr">
        <is>
          <t>Conta não vinculada ao MCC da Vanguarda ou ID divergente</t>
        </is>
      </c>
      <c r="O50" s="5" t="inlineStr">
        <is>
          <t>João (confirmar ID) + Administrador do MCC Google Ads 170-443-9246 (a confirmar)</t>
        </is>
      </c>
      <c r="P50" s="5" t="inlineStr">
        <is>
          <t>P2</t>
        </is>
      </c>
      <c r="Q50" s="5" t="inlineStr">
        <is>
          <t>E1 desbloquear</t>
        </is>
      </c>
      <c r="R50" s="5" t="inlineStr">
        <is>
          <t>2026-10-21</t>
        </is>
      </c>
      <c r="S50" s="5" t="inlineStr"/>
    </row>
    <row r="51">
      <c r="A51" s="5" t="inlineStr">
        <is>
          <t>Google Ads</t>
        </is>
      </c>
      <c r="B51" s="5" t="inlineStr">
        <is>
          <t>SANTO REMÉDIO</t>
        </is>
      </c>
      <c r="C51" s="5" t="inlineStr">
        <is>
          <t>281-904-4460</t>
        </is>
      </c>
      <c r="D51" s="5" t="inlineStr">
        <is>
          <t>SANTO REMÉDIO VNG</t>
        </is>
      </c>
      <c r="E51" s="5" t="inlineStr">
        <is>
          <t>google-ads-AMd2</t>
        </is>
      </c>
      <c r="F51" s="5" t="inlineStr">
        <is>
          <t>5 Bloqueada</t>
        </is>
      </c>
      <c r="G51" s="5" t="n">
        <v>280</v>
      </c>
      <c r="H51" s="5" t="inlineStr">
        <is>
          <t>2025-07-16</t>
        </is>
      </c>
      <c r="I51" s="5" t="n">
        <v>0</v>
      </c>
      <c r="J51" s="5" t="n"/>
      <c r="K51" s="5" t="n"/>
      <c r="L51" s="5" t="inlineStr"/>
      <c r="M51" s="5" t="inlineStr">
        <is>
          <t>gasto 13/09-12/10</t>
        </is>
      </c>
      <c r="N51" s="5" t="inlineStr">
        <is>
          <t>Conta viva do Santo Remédio é outra (513-801-6841, rascunho z1CZ)</t>
        </is>
      </c>
      <c r="O51" s="5" t="inlineStr">
        <is>
          <t>Administrador do MCC Google Ads 170-443-9246 (a confirmar)</t>
        </is>
      </c>
      <c r="P51" s="5" t="inlineStr">
        <is>
          <t>P2</t>
        </is>
      </c>
      <c r="Q51" s="5" t="inlineStr">
        <is>
          <t>E1 desbloquear</t>
        </is>
      </c>
      <c r="R51" s="5" t="inlineStr">
        <is>
          <t>2026-10-21</t>
        </is>
      </c>
      <c r="S51" s="5" t="inlineStr"/>
    </row>
    <row r="52">
      <c r="A52" s="5" t="inlineStr">
        <is>
          <t>Google Ads</t>
        </is>
      </c>
      <c r="B52" s="5" t="inlineStr">
        <is>
          <t>LOJA | NOVA ERA BV | PIX</t>
        </is>
      </c>
      <c r="C52" s="5" t="inlineStr">
        <is>
          <t>867-580-5325</t>
        </is>
      </c>
      <c r="D52" s="5" t="inlineStr">
        <is>
          <t>LOJA | NOVA ERA BV | PIX</t>
        </is>
      </c>
      <c r="E52" s="5" t="inlineStr">
        <is>
          <t>—</t>
        </is>
      </c>
      <c r="F52" s="5" t="inlineStr">
        <is>
          <t>6 Fora do escopo (Nova Era)</t>
        </is>
      </c>
      <c r="G52" s="5" t="n"/>
      <c r="H52" s="5" t="inlineStr"/>
      <c r="I52" s="5" t="n"/>
      <c r="J52" s="5" t="n">
        <v>1487.11</v>
      </c>
      <c r="K52" s="5" t="n"/>
      <c r="L52" s="5" t="inlineStr">
        <is>
          <t>BRL</t>
        </is>
      </c>
      <c r="M52" s="5" t="inlineStr">
        <is>
          <t>gasto 13/09-12/10</t>
        </is>
      </c>
      <c r="N52" s="5" t="inlineStr">
        <is>
          <t>Conta segue vinculada ao MCC da Vanguarda</t>
        </is>
      </c>
      <c r="O52" s="5" t="inlineStr">
        <is>
          <t>Jussara + administrador do MCC</t>
        </is>
      </c>
      <c r="P52" s="5" t="inlineStr"/>
      <c r="Q52" s="5" t="inlineStr">
        <is>
          <t>fora do escopo</t>
        </is>
      </c>
      <c r="R52" s="5" t="inlineStr">
        <is>
          <t>2026-10-23</t>
        </is>
      </c>
      <c r="S52" s="5" t="inlineStr"/>
    </row>
    <row r="53">
      <c r="A53" s="5" t="inlineStr">
        <is>
          <t>Google Ads</t>
        </is>
      </c>
      <c r="B53" s="5" t="inlineStr">
        <is>
          <t>LOJA | NOVA ERA PVH | PIX</t>
        </is>
      </c>
      <c r="C53" s="5" t="inlineStr">
        <is>
          <t>967-327-5366</t>
        </is>
      </c>
      <c r="D53" s="5" t="inlineStr">
        <is>
          <t>LOJA | NOVA ERA PVH | PIX</t>
        </is>
      </c>
      <c r="E53" s="5" t="inlineStr">
        <is>
          <t>—</t>
        </is>
      </c>
      <c r="F53" s="5" t="inlineStr">
        <is>
          <t>6 Fora do escopo (Nova Era)</t>
        </is>
      </c>
      <c r="G53" s="5" t="n"/>
      <c r="H53" s="5" t="inlineStr"/>
      <c r="I53" s="5" t="n"/>
      <c r="J53" s="5" t="n">
        <v>3404.76</v>
      </c>
      <c r="K53" s="5" t="n"/>
      <c r="L53" s="5" t="inlineStr">
        <is>
          <t>BRL</t>
        </is>
      </c>
      <c r="M53" s="5" t="inlineStr">
        <is>
          <t>gasto 13/09-12/10</t>
        </is>
      </c>
      <c r="N53" s="5" t="inlineStr">
        <is>
          <t>Conta segue vinculada ao MCC da Vanguarda</t>
        </is>
      </c>
      <c r="O53" s="5" t="inlineStr">
        <is>
          <t>Jussara + administrador do MCC</t>
        </is>
      </c>
      <c r="P53" s="5" t="inlineStr"/>
      <c r="Q53" s="5" t="inlineStr">
        <is>
          <t>fora do escopo</t>
        </is>
      </c>
      <c r="R53" s="5" t="inlineStr">
        <is>
          <t>2026-10-23</t>
        </is>
      </c>
      <c r="S53" s="5" t="inlineStr"/>
    </row>
    <row r="54">
      <c r="A54" s="5" t="inlineStr">
        <is>
          <t>Google Ads</t>
        </is>
      </c>
      <c r="B54" s="5" t="inlineStr">
        <is>
          <t>NOVA ERA MAO | LOJAS</t>
        </is>
      </c>
      <c r="C54" s="5" t="inlineStr">
        <is>
          <t>267-561-1013</t>
        </is>
      </c>
      <c r="D54" s="5" t="inlineStr">
        <is>
          <t>NOVA ERA MAO | LOJAS</t>
        </is>
      </c>
      <c r="E54" s="5" t="inlineStr">
        <is>
          <t>—</t>
        </is>
      </c>
      <c r="F54" s="5" t="inlineStr">
        <is>
          <t>6 Fora do escopo (Nova Era)</t>
        </is>
      </c>
      <c r="G54" s="5" t="n"/>
      <c r="H54" s="5" t="inlineStr"/>
      <c r="I54" s="5" t="n"/>
      <c r="J54" s="5" t="n">
        <v>10422.25</v>
      </c>
      <c r="K54" s="5" t="n"/>
      <c r="L54" s="5" t="inlineStr">
        <is>
          <t>BRL</t>
        </is>
      </c>
      <c r="M54" s="5" t="inlineStr">
        <is>
          <t>gasto 13/09-12/10</t>
        </is>
      </c>
      <c r="N54" s="5" t="inlineStr">
        <is>
          <t>Conta segue vinculada ao MCC da Vanguarda</t>
        </is>
      </c>
      <c r="O54" s="5" t="inlineStr">
        <is>
          <t>Jussara + administrador do MCC</t>
        </is>
      </c>
      <c r="P54" s="5" t="inlineStr"/>
      <c r="Q54" s="5" t="inlineStr">
        <is>
          <t>fora do escopo</t>
        </is>
      </c>
      <c r="R54" s="5" t="inlineStr">
        <is>
          <t>2026-10-23</t>
        </is>
      </c>
      <c r="S54" s="5" t="inlineStr"/>
    </row>
    <row r="55">
      <c r="A55" s="5" t="inlineStr">
        <is>
          <t>Google Ads</t>
        </is>
      </c>
      <c r="B55" s="5" t="inlineStr">
        <is>
          <t>NOVA ERA | MANAUS | ECOMM</t>
        </is>
      </c>
      <c r="C55" s="5" t="inlineStr">
        <is>
          <t>446-964-3023</t>
        </is>
      </c>
      <c r="D55" s="5" t="inlineStr">
        <is>
          <t>NOVA ERA | MANAUS | ECOMM</t>
        </is>
      </c>
      <c r="E55" s="5" t="inlineStr">
        <is>
          <t>—</t>
        </is>
      </c>
      <c r="F55" s="5" t="inlineStr">
        <is>
          <t>6 Fora do escopo (Nova Era)</t>
        </is>
      </c>
      <c r="G55" s="5" t="n"/>
      <c r="H55" s="5" t="inlineStr"/>
      <c r="I55" s="5" t="n"/>
      <c r="J55" s="5" t="n">
        <v>9187.33</v>
      </c>
      <c r="K55" s="5" t="n"/>
      <c r="L55" s="5" t="inlineStr">
        <is>
          <t>BRL</t>
        </is>
      </c>
      <c r="M55" s="5" t="inlineStr">
        <is>
          <t>gasto 13/09-12/10</t>
        </is>
      </c>
      <c r="N55" s="5" t="inlineStr">
        <is>
          <t>Conta segue vinculada ao MCC da Vanguarda</t>
        </is>
      </c>
      <c r="O55" s="5" t="inlineStr">
        <is>
          <t>Jussara + administrador do MCC</t>
        </is>
      </c>
      <c r="P55" s="5" t="inlineStr"/>
      <c r="Q55" s="5" t="inlineStr">
        <is>
          <t>fora do escopo</t>
        </is>
      </c>
      <c r="R55" s="5" t="inlineStr">
        <is>
          <t>2026-10-23</t>
        </is>
      </c>
      <c r="S55" s="5" t="inlineStr"/>
    </row>
    <row r="56">
      <c r="A56" s="5" t="inlineStr">
        <is>
          <t>Google Ads</t>
        </is>
      </c>
      <c r="B56" s="5" t="inlineStr">
        <is>
          <t>NOVA ERA | PORTO VELHO | ECOMM</t>
        </is>
      </c>
      <c r="C56" s="5" t="inlineStr">
        <is>
          <t>669-397-8711</t>
        </is>
      </c>
      <c r="D56" s="5" t="inlineStr">
        <is>
          <t>NOVA ERA | PORTO VELHO | ECOMM</t>
        </is>
      </c>
      <c r="E56" s="5" t="inlineStr">
        <is>
          <t>—</t>
        </is>
      </c>
      <c r="F56" s="5" t="inlineStr">
        <is>
          <t>6 Fora do escopo (Nova Era)</t>
        </is>
      </c>
      <c r="G56" s="5" t="n"/>
      <c r="H56" s="5" t="inlineStr"/>
      <c r="I56" s="5" t="n"/>
      <c r="J56" s="5" t="n">
        <v>1989.24</v>
      </c>
      <c r="K56" s="5" t="n"/>
      <c r="L56" s="5" t="inlineStr">
        <is>
          <t>BRL</t>
        </is>
      </c>
      <c r="M56" s="5" t="inlineStr">
        <is>
          <t>gasto 13/09-12/10</t>
        </is>
      </c>
      <c r="N56" s="5" t="inlineStr">
        <is>
          <t>Conta segue vinculada ao MCC da Vanguarda</t>
        </is>
      </c>
      <c r="O56" s="5" t="inlineStr">
        <is>
          <t>Jussara + administrador do MCC</t>
        </is>
      </c>
      <c r="P56" s="5" t="inlineStr"/>
      <c r="Q56" s="5" t="inlineStr">
        <is>
          <t>fora do escopo</t>
        </is>
      </c>
      <c r="R56" s="5" t="inlineStr">
        <is>
          <t>2026-10-23</t>
        </is>
      </c>
      <c r="S56" s="5" t="inlineStr"/>
    </row>
    <row r="57">
      <c r="A57" s="5" t="inlineStr">
        <is>
          <t>Google Ads</t>
        </is>
      </c>
      <c r="B57" s="5" t="inlineStr">
        <is>
          <t>DR. CABRAL (conta 2 NOVA)</t>
        </is>
      </c>
      <c r="C57" s="5" t="inlineStr">
        <is>
          <t>251-691-8741</t>
        </is>
      </c>
      <c r="D57" s="5" t="inlineStr">
        <is>
          <t>Dr. Cabral [NOVA]</t>
        </is>
      </c>
      <c r="E57" s="5" t="inlineStr">
        <is>
          <t>google-ads-4YJU</t>
        </is>
      </c>
      <c r="F57" s="5" t="inlineStr">
        <is>
          <t>8 Dispensável (duplicata, ex-cliente, inativo, duplicidade ou decisão de não conectar)</t>
        </is>
      </c>
      <c r="G57" s="5" t="n"/>
      <c r="H57" s="5" t="inlineStr"/>
      <c r="I57" s="5" t="n"/>
      <c r="J57" s="5" t="n">
        <v>1930.04</v>
      </c>
      <c r="K57" s="5" t="n"/>
      <c r="L57" s="5" t="inlineStr">
        <is>
          <t>BRL</t>
        </is>
      </c>
      <c r="M57" s="5" t="inlineStr">
        <is>
          <t>gasto 13/09-12/10</t>
        </is>
      </c>
      <c r="N57" s="5" t="inlineStr">
        <is>
          <t>Não precisa manter (duplicidade) (informado em 16/10; ver planilha oficial #1743)</t>
        </is>
      </c>
      <c r="O57" s="5" t="inlineStr">
        <is>
          <t>Account Manager (confirmar se a conta ainda é cliente)</t>
        </is>
      </c>
      <c r="P57" s="5" t="inlineStr"/>
      <c r="Q57" s="5" t="inlineStr">
        <is>
          <t>dispensavel</t>
        </is>
      </c>
      <c r="R57" s="5" t="inlineStr">
        <is>
          <t>2026-10-21</t>
        </is>
      </c>
      <c r="S57" s="5" t="inlineStr"/>
    </row>
    <row r="58">
      <c r="A58" s="5" t="inlineStr">
        <is>
          <t>Google Ads</t>
        </is>
      </c>
      <c r="B58" s="5" t="inlineStr">
        <is>
          <t>HOPE BAY PARK</t>
        </is>
      </c>
      <c r="C58" s="5" t="inlineStr">
        <is>
          <t>407-149-9349</t>
        </is>
      </c>
      <c r="D58" s="5" t="inlineStr">
        <is>
          <t>Hope Bay Park</t>
        </is>
      </c>
      <c r="E58" s="5" t="inlineStr">
        <is>
          <t>google-ads-DR7n</t>
        </is>
      </c>
      <c r="F58" s="5" t="inlineStr">
        <is>
          <t>8 Dispensável (duplicata, ex-cliente, inativo, duplicidade ou decisão de não conectar)</t>
        </is>
      </c>
      <c r="G58" s="5" t="n"/>
      <c r="H58" s="5" t="inlineStr"/>
      <c r="I58" s="5" t="n"/>
      <c r="J58" s="5" t="n">
        <v>1506.28</v>
      </c>
      <c r="K58" s="5" t="n"/>
      <c r="L58" s="5" t="inlineStr">
        <is>
          <t>BRL</t>
        </is>
      </c>
      <c r="M58" s="5" t="inlineStr">
        <is>
          <t>gasto 13/09-12/10</t>
        </is>
      </c>
      <c r="N58" s="5" t="inlineStr">
        <is>
          <t>Não precisa manter (ex-cliente) (informado em 16/10; ver planilha oficial #1743)</t>
        </is>
      </c>
      <c r="O58" s="5" t="inlineStr">
        <is>
          <t>Account Manager (confirmar se a conta ainda é cliente)</t>
        </is>
      </c>
      <c r="P58" s="5" t="inlineStr"/>
      <c r="Q58" s="5" t="inlineStr">
        <is>
          <t>dispensavel</t>
        </is>
      </c>
      <c r="R58" s="5" t="inlineStr">
        <is>
          <t>2026-10-21</t>
        </is>
      </c>
      <c r="S58" s="5" t="inlineStr"/>
    </row>
    <row r="59">
      <c r="A59" s="5" t="inlineStr">
        <is>
          <t>Google Ads</t>
        </is>
      </c>
      <c r="B59" s="5" t="inlineStr">
        <is>
          <t>JULIA HERRERA</t>
        </is>
      </c>
      <c r="C59" s="5" t="inlineStr">
        <is>
          <t>382-053-1237</t>
        </is>
      </c>
      <c r="D59" s="5" t="inlineStr">
        <is>
          <t>Julia Herrera</t>
        </is>
      </c>
      <c r="E59" s="5" t="inlineStr">
        <is>
          <t>google-ads-10KI</t>
        </is>
      </c>
      <c r="F59" s="5" t="inlineStr">
        <is>
          <t>8 Dispensável (duplicata, ex-cliente, inativo, duplicidade ou decisão de não conectar)</t>
        </is>
      </c>
      <c r="G59" s="5" t="n"/>
      <c r="H59" s="5" t="inlineStr"/>
      <c r="I59" s="5" t="n"/>
      <c r="J59" s="5" t="n">
        <v>637.1900000000001</v>
      </c>
      <c r="K59" s="5" t="n"/>
      <c r="L59" s="5" t="inlineStr">
        <is>
          <t>BRL</t>
        </is>
      </c>
      <c r="M59" s="5" t="inlineStr">
        <is>
          <t>gasto 13/09-12/10</t>
        </is>
      </c>
      <c r="N59" s="5" t="inlineStr">
        <is>
          <t>Não precisa manter (ex-cliente) (informado em 16/10; ver planilha oficial #1743)</t>
        </is>
      </c>
      <c r="O59" s="5" t="inlineStr">
        <is>
          <t>Account Manager (confirmar se a conta ainda é cliente)</t>
        </is>
      </c>
      <c r="P59" s="5" t="inlineStr"/>
      <c r="Q59" s="5" t="inlineStr">
        <is>
          <t>dispensavel</t>
        </is>
      </c>
      <c r="R59" s="5" t="inlineStr">
        <is>
          <t>2026-10-21</t>
        </is>
      </c>
      <c r="S59" s="5" t="inlineStr"/>
    </row>
    <row r="60">
      <c r="A60" s="5" t="inlineStr">
        <is>
          <t>Google Ads</t>
        </is>
      </c>
      <c r="B60" s="5" t="inlineStr">
        <is>
          <t>OLÁ CASA NOVA</t>
        </is>
      </c>
      <c r="C60" s="5" t="inlineStr">
        <is>
          <t>615-504-3001</t>
        </is>
      </c>
      <c r="D60" s="5" t="inlineStr">
        <is>
          <t>Olá Empreendimentos</t>
        </is>
      </c>
      <c r="E60" s="5" t="inlineStr">
        <is>
          <t>google-ads-DzVL</t>
        </is>
      </c>
      <c r="F60" s="5" t="inlineStr">
        <is>
          <t>8 Dispensável (duplicata, ex-cliente, inativo, duplicidade ou decisão de não conectar)</t>
        </is>
      </c>
      <c r="G60" s="5" t="n">
        <v>1099</v>
      </c>
      <c r="H60" s="5" t="inlineStr">
        <is>
          <t>2026-10-19</t>
        </is>
      </c>
      <c r="I60" s="5" t="n">
        <v>2208.42</v>
      </c>
      <c r="J60" s="5" t="n">
        <v>2208.42</v>
      </c>
      <c r="K60" s="5" t="n">
        <v>0</v>
      </c>
      <c r="L60" s="5" t="inlineStr">
        <is>
          <t>BRL</t>
        </is>
      </c>
      <c r="M60" s="5" t="inlineStr">
        <is>
          <t>gasto 13/09-12/10</t>
        </is>
      </c>
      <c r="N60" s="5" t="inlineStr">
        <is>
          <t>Não precisa manter (ex-cliente) (informado em 16/10; ver planilha oficial #1743)</t>
        </is>
      </c>
      <c r="O60" s="5" t="inlineStr">
        <is>
          <t>Administrador do MCC Google Ads 170-443-9246 (a confirmar)</t>
        </is>
      </c>
      <c r="P60" s="5" t="inlineStr"/>
      <c r="Q60" s="5" t="inlineStr">
        <is>
          <t>dispensavel</t>
        </is>
      </c>
      <c r="R60" s="5" t="inlineStr">
        <is>
          <t>2026-10-23</t>
        </is>
      </c>
      <c r="S60" s="5" t="inlineStr"/>
    </row>
    <row r="61">
      <c r="A61" s="5" t="inlineStr">
        <is>
          <t>Google Ads</t>
        </is>
      </c>
      <c r="B61" s="5" t="inlineStr">
        <is>
          <t>PÁTIO GOURMET (E-COM)</t>
        </is>
      </c>
      <c r="C61" s="5" t="inlineStr">
        <is>
          <t>681-914-4625</t>
        </is>
      </c>
      <c r="D61" s="5" t="inlineStr">
        <is>
          <t>Pátio Gourmet (E-Com)</t>
        </is>
      </c>
      <c r="E61" s="5" t="inlineStr">
        <is>
          <t>google-ads-hLZl</t>
        </is>
      </c>
      <c r="F61" s="5" t="inlineStr">
        <is>
          <t>8 Dispensável (duplicata, ex-cliente, inativo, duplicidade ou decisão de não conectar)</t>
        </is>
      </c>
      <c r="G61" s="5" t="n"/>
      <c r="H61" s="5" t="inlineStr"/>
      <c r="I61" s="5" t="n"/>
      <c r="J61" s="5" t="n">
        <v>3028.41</v>
      </c>
      <c r="K61" s="5" t="n"/>
      <c r="L61" s="5" t="inlineStr">
        <is>
          <t>BRL</t>
        </is>
      </c>
      <c r="M61" s="5" t="inlineStr">
        <is>
          <t>gasto 13/09-12/10</t>
        </is>
      </c>
      <c r="N61" s="5" t="inlineStr">
        <is>
          <t>Não precisa manter (ex-cliente) (informado em 16/10; ver planilha oficial #1743)</t>
        </is>
      </c>
      <c r="O61" s="5" t="inlineStr">
        <is>
          <t>Account Manager (confirmar se a conta ainda é cliente)</t>
        </is>
      </c>
      <c r="P61" s="5" t="inlineStr"/>
      <c r="Q61" s="5" t="inlineStr">
        <is>
          <t>dispensavel</t>
        </is>
      </c>
      <c r="R61" s="5" t="inlineStr">
        <is>
          <t>2026-10-21</t>
        </is>
      </c>
      <c r="S61" s="5" t="inlineStr"/>
    </row>
    <row r="62">
      <c r="A62" s="5" t="inlineStr">
        <is>
          <t>Google Ads</t>
        </is>
      </c>
      <c r="B62" s="5" t="inlineStr">
        <is>
          <t>PÁTIO GOURMET (LOJA)</t>
        </is>
      </c>
      <c r="C62" s="5" t="inlineStr">
        <is>
          <t>965-772-4454</t>
        </is>
      </c>
      <c r="D62" s="5" t="inlineStr">
        <is>
          <t>Pátio Gourmet (Loja)</t>
        </is>
      </c>
      <c r="E62" s="5" t="inlineStr">
        <is>
          <t>google-ads-4aNo</t>
        </is>
      </c>
      <c r="F62" s="5" t="inlineStr">
        <is>
          <t>8 Dispensável (duplicata, ex-cliente, inativo, duplicidade ou decisão de não conectar)</t>
        </is>
      </c>
      <c r="G62" s="5" t="n"/>
      <c r="H62" s="5" t="inlineStr"/>
      <c r="I62" s="5" t="n"/>
      <c r="J62" s="5" t="n">
        <v>13.66</v>
      </c>
      <c r="K62" s="5" t="n"/>
      <c r="L62" s="5" t="inlineStr">
        <is>
          <t>BRL</t>
        </is>
      </c>
      <c r="M62" s="5" t="inlineStr">
        <is>
          <t>gasto 13/09-12/10</t>
        </is>
      </c>
      <c r="N62" s="5" t="inlineStr">
        <is>
          <t>Não precisa manter (ex-cliente) (informado em 16/10; ver planilha oficial #1743)</t>
        </is>
      </c>
      <c r="O62" s="5" t="inlineStr">
        <is>
          <t>Account Manager (confirmar se a conta ainda é cliente)</t>
        </is>
      </c>
      <c r="P62" s="5" t="inlineStr"/>
      <c r="Q62" s="5" t="inlineStr">
        <is>
          <t>dispensavel</t>
        </is>
      </c>
      <c r="R62" s="5" t="inlineStr">
        <is>
          <t>2026-10-21</t>
        </is>
      </c>
      <c r="S62" s="5" t="inlineStr"/>
    </row>
    <row r="63">
      <c r="A63" s="5" t="inlineStr">
        <is>
          <t>Google Ads</t>
        </is>
      </c>
      <c r="B63" s="5" t="inlineStr">
        <is>
          <t>SANTO REMÉDIO (conta viva)</t>
        </is>
      </c>
      <c r="C63" s="5" t="inlineStr">
        <is>
          <t>513-801-6841</t>
        </is>
      </c>
      <c r="D63" s="5" t="inlineStr">
        <is>
          <t>Santo Remédio (Conta Viva)</t>
        </is>
      </c>
      <c r="E63" s="5" t="inlineStr">
        <is>
          <t>google-ads-z1CZ</t>
        </is>
      </c>
      <c r="F63" s="5" t="inlineStr">
        <is>
          <t>8 Dispensável (duplicata, ex-cliente, inativo, duplicidade ou decisão de não conectar)</t>
        </is>
      </c>
      <c r="G63" s="5" t="n"/>
      <c r="H63" s="5" t="inlineStr"/>
      <c r="I63" s="5" t="n"/>
      <c r="J63" s="5" t="n">
        <v>3545.39</v>
      </c>
      <c r="K63" s="5" t="n"/>
      <c r="L63" s="5" t="inlineStr">
        <is>
          <t>BRL</t>
        </is>
      </c>
      <c r="M63" s="5" t="inlineStr">
        <is>
          <t>gasto 13/09-12/10</t>
        </is>
      </c>
      <c r="N63" s="5" t="inlineStr">
        <is>
          <t>Não precisa manter (decisão: não conectar por ora) (informado em 16/10; ver planilha oficial #1743)</t>
        </is>
      </c>
      <c r="O63" s="5" t="inlineStr">
        <is>
          <t>Account Manager (confirmar se a conta ainda é cliente)</t>
        </is>
      </c>
      <c r="P63" s="5" t="inlineStr"/>
      <c r="Q63" s="5" t="inlineStr">
        <is>
          <t>dispensavel</t>
        </is>
      </c>
      <c r="R63" s="5" t="inlineStr">
        <is>
          <t>2026-10-21</t>
        </is>
      </c>
      <c r="S63" s="5" t="inlineStr"/>
    </row>
    <row r="64">
      <c r="A64" s="5" t="inlineStr">
        <is>
          <t>Google Ads</t>
        </is>
      </c>
      <c r="B64" s="5" t="inlineStr">
        <is>
          <t>UIARA AMAZON RESORT</t>
        </is>
      </c>
      <c r="C64" s="5" t="inlineStr">
        <is>
          <t>193-832-6229</t>
        </is>
      </c>
      <c r="D64" s="5" t="inlineStr">
        <is>
          <t>Uiara Amazon Resort</t>
        </is>
      </c>
      <c r="E64" s="5" t="inlineStr">
        <is>
          <t>google-ads-WKmK</t>
        </is>
      </c>
      <c r="F64" s="5" t="inlineStr">
        <is>
          <t>8 Dispensável (duplicata, ex-cliente, inativo, duplicidade ou decisão de não conectar)</t>
        </is>
      </c>
      <c r="G64" s="5" t="n"/>
      <c r="H64" s="5" t="inlineStr"/>
      <c r="I64" s="5" t="n"/>
      <c r="J64" s="5" t="n">
        <v>12545.38</v>
      </c>
      <c r="K64" s="5" t="n"/>
      <c r="L64" s="5" t="inlineStr">
        <is>
          <t>BRL</t>
        </is>
      </c>
      <c r="M64" s="5" t="inlineStr">
        <is>
          <t>gasto 13/09-12/10</t>
        </is>
      </c>
      <c r="N64" s="5" t="inlineStr">
        <is>
          <t>Não precisa manter (ex-cliente) (informado em 16/10; ver planilha oficial #1743)</t>
        </is>
      </c>
      <c r="O64" s="5" t="inlineStr">
        <is>
          <t>Account Manager (confirmar se a conta ainda é cliente)</t>
        </is>
      </c>
      <c r="P64" s="5" t="inlineStr"/>
      <c r="Q64" s="5" t="inlineStr">
        <is>
          <t>dispensavel</t>
        </is>
      </c>
      <c r="R64" s="5" t="inlineStr">
        <is>
          <t>2026-10-21</t>
        </is>
      </c>
      <c r="S64" s="5" t="inlineStr"/>
    </row>
    <row r="65">
      <c r="A65" s="5" t="inlineStr">
        <is>
          <t>LinkedIn Ads</t>
        </is>
      </c>
      <c r="B65" s="5" t="inlineStr">
        <is>
          <t>ALMEIDA E BARRETO</t>
        </is>
      </c>
      <c r="C65" s="5" t="inlineStr">
        <is>
          <t>—</t>
        </is>
      </c>
      <c r="D65" s="5" t="inlineStr">
        <is>
          <t>conta não informada nos documentos</t>
        </is>
      </c>
      <c r="E65" s="5" t="inlineStr">
        <is>
          <t>—</t>
        </is>
      </c>
      <c r="F65" s="5" t="inlineStr">
        <is>
          <t>7 Sem conexão</t>
        </is>
      </c>
      <c r="G65" s="5" t="n"/>
      <c r="H65" s="5" t="inlineStr"/>
      <c r="I65" s="5" t="n"/>
      <c r="J65" s="5" t="n"/>
      <c r="K65" s="5" t="n"/>
      <c r="L65" s="5" t="inlineStr"/>
      <c r="M65" s="5" t="inlineStr"/>
      <c r="N65" s="5" t="inlineStr">
        <is>
          <t>ID da conta não consta em nenhum documento</t>
        </is>
      </c>
      <c r="O65" s="5" t="inlineStr">
        <is>
          <t>Analista da conta</t>
        </is>
      </c>
      <c r="P65" s="5" t="inlineStr">
        <is>
          <t>P3</t>
        </is>
      </c>
      <c r="Q65" s="5" t="inlineStr">
        <is>
          <t>E4 levantar ID e decidir escopo</t>
        </is>
      </c>
      <c r="R65" s="5" t="inlineStr">
        <is>
          <t>2026-10-30</t>
        </is>
      </c>
      <c r="S65" s="5" t="inlineStr"/>
    </row>
    <row r="66">
      <c r="A66" s="5" t="inlineStr">
        <is>
          <t>LinkedIn Ads</t>
        </is>
      </c>
      <c r="B66" s="5" t="inlineStr">
        <is>
          <t>AMAZONCOPY</t>
        </is>
      </c>
      <c r="C66" s="5" t="inlineStr">
        <is>
          <t>—</t>
        </is>
      </c>
      <c r="D66" s="5" t="inlineStr">
        <is>
          <t>conta não informada nos documentos</t>
        </is>
      </c>
      <c r="E66" s="5" t="inlineStr">
        <is>
          <t>—</t>
        </is>
      </c>
      <c r="F66" s="5" t="inlineStr">
        <is>
          <t>7 Sem conexão</t>
        </is>
      </c>
      <c r="G66" s="5" t="n"/>
      <c r="H66" s="5" t="inlineStr"/>
      <c r="I66" s="5" t="n"/>
      <c r="J66" s="5" t="n"/>
      <c r="K66" s="5" t="n"/>
      <c r="L66" s="5" t="inlineStr"/>
      <c r="M66" s="5" t="inlineStr"/>
      <c r="N66" s="5" t="inlineStr">
        <is>
          <t>ID da conta não consta em nenhum documento</t>
        </is>
      </c>
      <c r="O66" s="5" t="inlineStr">
        <is>
          <t>Analista da conta</t>
        </is>
      </c>
      <c r="P66" s="5" t="inlineStr">
        <is>
          <t>P3</t>
        </is>
      </c>
      <c r="Q66" s="5" t="inlineStr">
        <is>
          <t>E4 levantar ID e decidir escopo</t>
        </is>
      </c>
      <c r="R66" s="5" t="inlineStr">
        <is>
          <t>2026-10-30</t>
        </is>
      </c>
      <c r="S66" s="5" t="inlineStr"/>
    </row>
    <row r="67">
      <c r="A67" s="5" t="inlineStr">
        <is>
          <t>LinkedIn Ads</t>
        </is>
      </c>
      <c r="B67" s="5" t="inlineStr">
        <is>
          <t>PRESTEX</t>
        </is>
      </c>
      <c r="C67" s="5" t="inlineStr">
        <is>
          <t>—</t>
        </is>
      </c>
      <c r="D67" s="5" t="inlineStr">
        <is>
          <t>conta não informada nos documentos</t>
        </is>
      </c>
      <c r="E67" s="5" t="inlineStr">
        <is>
          <t>—</t>
        </is>
      </c>
      <c r="F67" s="5" t="inlineStr">
        <is>
          <t>7 Sem conexão</t>
        </is>
      </c>
      <c r="G67" s="5" t="n"/>
      <c r="H67" s="5" t="inlineStr"/>
      <c r="I67" s="5" t="n"/>
      <c r="J67" s="5" t="n"/>
      <c r="K67" s="5" t="n"/>
      <c r="L67" s="5" t="inlineStr"/>
      <c r="M67" s="5" t="inlineStr"/>
      <c r="N67" s="5" t="inlineStr">
        <is>
          <t>ID da conta não consta em nenhum documento</t>
        </is>
      </c>
      <c r="O67" s="5" t="inlineStr">
        <is>
          <t>Analista da conta</t>
        </is>
      </c>
      <c r="P67" s="5" t="inlineStr">
        <is>
          <t>P3</t>
        </is>
      </c>
      <c r="Q67" s="5" t="inlineStr">
        <is>
          <t>E4 levantar ID e decidir escopo</t>
        </is>
      </c>
      <c r="R67" s="5" t="inlineStr">
        <is>
          <t>2026-10-30</t>
        </is>
      </c>
      <c r="S67" s="5" t="inlineStr"/>
    </row>
    <row r="68">
      <c r="A68" s="5" t="inlineStr">
        <is>
          <t>LinkedIn Ads</t>
        </is>
      </c>
      <c r="B68" s="5" t="inlineStr">
        <is>
          <t>TUBOAÇOS</t>
        </is>
      </c>
      <c r="C68" s="5" t="inlineStr">
        <is>
          <t>—</t>
        </is>
      </c>
      <c r="D68" s="5" t="inlineStr">
        <is>
          <t>conta não informada nos documentos</t>
        </is>
      </c>
      <c r="E68" s="5" t="inlineStr">
        <is>
          <t>—</t>
        </is>
      </c>
      <c r="F68" s="5" t="inlineStr">
        <is>
          <t>7 Sem conexão</t>
        </is>
      </c>
      <c r="G68" s="5" t="n"/>
      <c r="H68" s="5" t="inlineStr"/>
      <c r="I68" s="5" t="n"/>
      <c r="J68" s="5" t="n"/>
      <c r="K68" s="5" t="n"/>
      <c r="L68" s="5" t="inlineStr"/>
      <c r="M68" s="5" t="inlineStr"/>
      <c r="N68" s="5" t="inlineStr">
        <is>
          <t>ID da conta não consta em nenhum documento</t>
        </is>
      </c>
      <c r="O68" s="5" t="inlineStr">
        <is>
          <t>Analista da conta</t>
        </is>
      </c>
      <c r="P68" s="5" t="inlineStr">
        <is>
          <t>P3</t>
        </is>
      </c>
      <c r="Q68" s="5" t="inlineStr">
        <is>
          <t>E4 levantar ID e decidir escopo</t>
        </is>
      </c>
      <c r="R68" s="5" t="inlineStr">
        <is>
          <t>2026-10-30</t>
        </is>
      </c>
      <c r="S68" s="5" t="inlineStr"/>
    </row>
    <row r="69">
      <c r="A69" s="5" t="inlineStr">
        <is>
          <t>Meta Ads</t>
        </is>
      </c>
      <c r="B69" s="5" t="inlineStr">
        <is>
          <t>ACESSO SAÚDE</t>
        </is>
      </c>
      <c r="C69" s="5" t="inlineStr">
        <is>
          <t>261401095311098</t>
        </is>
      </c>
      <c r="D69" s="5" t="inlineStr">
        <is>
          <t>Acesso Saúde</t>
        </is>
      </c>
      <c r="E69" s="5" t="inlineStr">
        <is>
          <t>facebook-ads-Si4U</t>
        </is>
      </c>
      <c r="F69" s="5" t="inlineStr">
        <is>
          <t>1 Funcional — dado ativo</t>
        </is>
      </c>
      <c r="G69" s="5" t="n">
        <v>21713</v>
      </c>
      <c r="H69" s="5" t="inlineStr">
        <is>
          <t>2026-10-20</t>
        </is>
      </c>
      <c r="I69" s="5" t="n">
        <v>2124.82</v>
      </c>
      <c r="J69" s="5" t="n">
        <v>2126.15</v>
      </c>
      <c r="K69" s="5" t="n">
        <v>-1.33</v>
      </c>
      <c r="L69" s="5" t="inlineStr">
        <is>
          <t>BRL</t>
        </is>
      </c>
      <c r="M69" s="5" t="inlineStr">
        <is>
          <t>gasto 13-19/10</t>
        </is>
      </c>
      <c r="N69" s="5" t="inlineStr"/>
      <c r="O69" s="5" t="inlineStr">
        <is>
          <t>—</t>
        </is>
      </c>
      <c r="P69" s="5" t="inlineStr"/>
      <c r="Q69" s="5" t="inlineStr">
        <is>
          <t>ja na Trusted</t>
        </is>
      </c>
      <c r="R69" s="5" t="inlineStr"/>
      <c r="S69" s="5" t="inlineStr"/>
    </row>
    <row r="70">
      <c r="A70" s="5" t="inlineStr">
        <is>
          <t>Meta Ads</t>
        </is>
      </c>
      <c r="B70" s="5" t="inlineStr">
        <is>
          <t>AMAZONCOPY</t>
        </is>
      </c>
      <c r="C70" s="5" t="inlineStr">
        <is>
          <t>233965209271674</t>
        </is>
      </c>
      <c r="D70" s="5" t="inlineStr">
        <is>
          <t>Amazoncopy</t>
        </is>
      </c>
      <c r="E70" s="5" t="inlineStr">
        <is>
          <t>facebook-ads-aghZ</t>
        </is>
      </c>
      <c r="F70" s="5" t="inlineStr">
        <is>
          <t>1 Funcional — dado ativo</t>
        </is>
      </c>
      <c r="G70" s="5" t="n">
        <v>4286</v>
      </c>
      <c r="H70" s="5" t="inlineStr">
        <is>
          <t>2026-10-20</t>
        </is>
      </c>
      <c r="I70" s="5" t="n">
        <v>399.89</v>
      </c>
      <c r="J70" s="5" t="n">
        <v>400.06</v>
      </c>
      <c r="K70" s="5" t="n">
        <v>-0.17</v>
      </c>
      <c r="L70" s="5" t="inlineStr">
        <is>
          <t>BRL</t>
        </is>
      </c>
      <c r="M70" s="5" t="inlineStr">
        <is>
          <t>gasto 13-19/10</t>
        </is>
      </c>
      <c r="N70" s="5" t="inlineStr"/>
      <c r="O70" s="5" t="inlineStr">
        <is>
          <t>Nekt (Jussara)</t>
        </is>
      </c>
      <c r="P70" s="5" t="inlineStr"/>
      <c r="Q70" s="5" t="inlineStr">
        <is>
          <t>E3 somar a Trusted de Facebook (apos 20/10)</t>
        </is>
      </c>
      <c r="R70" s="5" t="inlineStr">
        <is>
          <t>2026-10-21</t>
        </is>
      </c>
      <c r="S70" s="5" t="inlineStr"/>
    </row>
    <row r="71">
      <c r="A71" s="5" t="inlineStr">
        <is>
          <t>Meta Ads</t>
        </is>
      </c>
      <c r="B71" s="5" t="inlineStr">
        <is>
          <t>AMZ GERADORES</t>
        </is>
      </c>
      <c r="C71" s="5" t="inlineStr">
        <is>
          <t>747929494239769</t>
        </is>
      </c>
      <c r="D71" s="5" t="inlineStr">
        <is>
          <t>AMZ GERADORES</t>
        </is>
      </c>
      <c r="E71" s="5" t="inlineStr">
        <is>
          <t>facebook-ads-nCGL</t>
        </is>
      </c>
      <c r="F71" s="5" t="inlineStr">
        <is>
          <t>1 Funcional — dado ativo</t>
        </is>
      </c>
      <c r="G71" s="5" t="n">
        <v>817</v>
      </c>
      <c r="H71" s="5" t="inlineStr">
        <is>
          <t>2026-10-20</t>
        </is>
      </c>
      <c r="I71" s="5" t="n">
        <v>823.59</v>
      </c>
      <c r="J71" s="5" t="n">
        <v>824.09</v>
      </c>
      <c r="K71" s="5" t="n">
        <v>-0.5</v>
      </c>
      <c r="L71" s="5" t="inlineStr">
        <is>
          <t>BRL</t>
        </is>
      </c>
      <c r="M71" s="5" t="inlineStr">
        <is>
          <t>gasto 13-19/10</t>
        </is>
      </c>
      <c r="N71" s="5" t="inlineStr"/>
      <c r="O71" s="5" t="inlineStr">
        <is>
          <t>Nekt (Jussara)</t>
        </is>
      </c>
      <c r="P71" s="5" t="inlineStr"/>
      <c r="Q71" s="5" t="inlineStr">
        <is>
          <t>E3 somar a Trusted de Facebook (apos 20/10)</t>
        </is>
      </c>
      <c r="R71" s="5" t="inlineStr">
        <is>
          <t>2026-10-21</t>
        </is>
      </c>
      <c r="S71" s="5" t="inlineStr"/>
    </row>
    <row r="72">
      <c r="A72" s="5" t="inlineStr">
        <is>
          <t>Meta Ads</t>
        </is>
      </c>
      <c r="B72" s="5" t="inlineStr">
        <is>
          <t>ANIMATIV</t>
        </is>
      </c>
      <c r="C72" s="5" t="inlineStr">
        <is>
          <t>202711331653880</t>
        </is>
      </c>
      <c r="D72" s="5" t="inlineStr">
        <is>
          <t>Animativ</t>
        </is>
      </c>
      <c r="E72" s="5" t="inlineStr">
        <is>
          <t>facebook-ads-TAqE</t>
        </is>
      </c>
      <c r="F72" s="5" t="inlineStr">
        <is>
          <t>1 Funcional — dado ativo</t>
        </is>
      </c>
      <c r="G72" s="5" t="n">
        <v>1217</v>
      </c>
      <c r="H72" s="5" t="inlineStr">
        <is>
          <t>2026-10-20</t>
        </is>
      </c>
      <c r="I72" s="5" t="n">
        <v>104.65</v>
      </c>
      <c r="J72" s="5" t="n">
        <v>104.65</v>
      </c>
      <c r="K72" s="5" t="n">
        <v>0</v>
      </c>
      <c r="L72" s="5" t="inlineStr">
        <is>
          <t>BRL</t>
        </is>
      </c>
      <c r="M72" s="5" t="inlineStr">
        <is>
          <t>gasto 13-19/10</t>
        </is>
      </c>
      <c r="N72" s="5" t="inlineStr"/>
      <c r="O72" s="5" t="inlineStr">
        <is>
          <t>Nekt (Jussara)</t>
        </is>
      </c>
      <c r="P72" s="5" t="inlineStr"/>
      <c r="Q72" s="5" t="inlineStr">
        <is>
          <t>E3 somar a Trusted de Facebook (apos 20/10)</t>
        </is>
      </c>
      <c r="R72" s="5" t="inlineStr">
        <is>
          <t>2026-10-21</t>
        </is>
      </c>
      <c r="S72" s="5" t="inlineStr"/>
    </row>
    <row r="73">
      <c r="A73" s="5" t="inlineStr">
        <is>
          <t>Meta Ads</t>
        </is>
      </c>
      <c r="B73" s="5" t="inlineStr">
        <is>
          <t>ARENA TINTAS [E-COM + AQUISIÇÃO]</t>
        </is>
      </c>
      <c r="C73" s="5" t="inlineStr">
        <is>
          <t>816285708835072</t>
        </is>
      </c>
      <c r="D73" s="5" t="inlineStr">
        <is>
          <t>Arena Tintas</t>
        </is>
      </c>
      <c r="E73" s="5" t="inlineStr">
        <is>
          <t>facebook-ads-omn8</t>
        </is>
      </c>
      <c r="F73" s="5" t="inlineStr">
        <is>
          <t>1 Funcional — dado ativo</t>
        </is>
      </c>
      <c r="G73" s="5" t="n">
        <v>8412</v>
      </c>
      <c r="H73" s="5" t="inlineStr">
        <is>
          <t>2026-10-20</t>
        </is>
      </c>
      <c r="I73" s="5" t="n">
        <v>1453.09</v>
      </c>
      <c r="J73" s="5" t="n">
        <v>1453.96</v>
      </c>
      <c r="K73" s="5" t="n">
        <v>-0.87</v>
      </c>
      <c r="L73" s="5" t="inlineStr">
        <is>
          <t>BRL</t>
        </is>
      </c>
      <c r="M73" s="5" t="inlineStr">
        <is>
          <t>gasto 13-19/10</t>
        </is>
      </c>
      <c r="N73" s="5" t="inlineStr"/>
      <c r="O73" s="5" t="inlineStr">
        <is>
          <t>Nekt (Jussara)</t>
        </is>
      </c>
      <c r="P73" s="5" t="inlineStr"/>
      <c r="Q73" s="5" t="inlineStr">
        <is>
          <t>E3 somar a Trusted de Facebook (apos 20/10)</t>
        </is>
      </c>
      <c r="R73" s="5" t="inlineStr">
        <is>
          <t>2026-10-21</t>
        </is>
      </c>
      <c r="S73" s="5" t="inlineStr"/>
    </row>
    <row r="74">
      <c r="A74" s="5" t="inlineStr">
        <is>
          <t>Meta Ads</t>
        </is>
      </c>
      <c r="B74" s="5" t="inlineStr">
        <is>
          <t>ARTRIN</t>
        </is>
      </c>
      <c r="C74" s="5" t="inlineStr">
        <is>
          <t>3407674766139167</t>
        </is>
      </c>
      <c r="D74" s="5" t="inlineStr">
        <is>
          <t>CA - Artrin Importadora 02</t>
        </is>
      </c>
      <c r="E74" s="5" t="inlineStr">
        <is>
          <t>facebook-ads-xohe</t>
        </is>
      </c>
      <c r="F74" s="5" t="inlineStr">
        <is>
          <t>1 Funcional — dado ativo</t>
        </is>
      </c>
      <c r="G74" s="5" t="n">
        <v>6739</v>
      </c>
      <c r="H74" s="5" t="inlineStr">
        <is>
          <t>2026-10-20</t>
        </is>
      </c>
      <c r="I74" s="5" t="n">
        <v>422.1</v>
      </c>
      <c r="J74" s="5" t="n">
        <v>422.1</v>
      </c>
      <c r="K74" s="5" t="n">
        <v>0</v>
      </c>
      <c r="L74" s="5" t="inlineStr">
        <is>
          <t>BRL</t>
        </is>
      </c>
      <c r="M74" s="5" t="inlineStr">
        <is>
          <t>gasto 13-19/10</t>
        </is>
      </c>
      <c r="N74" s="5" t="inlineStr"/>
      <c r="O74" s="5" t="inlineStr">
        <is>
          <t>Nekt (Jussara)</t>
        </is>
      </c>
      <c r="P74" s="5" t="inlineStr"/>
      <c r="Q74" s="5" t="inlineStr">
        <is>
          <t>E3 somar a Trusted de Facebook (apos 20/10)</t>
        </is>
      </c>
      <c r="R74" s="5" t="inlineStr">
        <is>
          <t>2026-10-21</t>
        </is>
      </c>
      <c r="S74" s="5" t="inlineStr"/>
    </row>
    <row r="75">
      <c r="A75" s="5" t="inlineStr">
        <is>
          <t>Meta Ads</t>
        </is>
      </c>
      <c r="B75" s="5" t="inlineStr">
        <is>
          <t>BEST CAR</t>
        </is>
      </c>
      <c r="C75" s="5" t="inlineStr">
        <is>
          <t>235333404360431</t>
        </is>
      </c>
      <c r="D75" s="5" t="inlineStr">
        <is>
          <t>BEST CAR 2024</t>
        </is>
      </c>
      <c r="E75" s="5" t="inlineStr">
        <is>
          <t>facebook-ads-E9RT</t>
        </is>
      </c>
      <c r="F75" s="5" t="inlineStr">
        <is>
          <t>1 Funcional — dado ativo</t>
        </is>
      </c>
      <c r="G75" s="5" t="n">
        <v>8745</v>
      </c>
      <c r="H75" s="5" t="inlineStr">
        <is>
          <t>2026-10-20</t>
        </is>
      </c>
      <c r="I75" s="5" t="n">
        <v>8356.18</v>
      </c>
      <c r="J75" s="5" t="n">
        <v>8362.24</v>
      </c>
      <c r="K75" s="5" t="n">
        <v>-6.06</v>
      </c>
      <c r="L75" s="5" t="inlineStr">
        <is>
          <t>BRL</t>
        </is>
      </c>
      <c r="M75" s="5" t="inlineStr">
        <is>
          <t>gasto 13-19/10</t>
        </is>
      </c>
      <c r="N75" s="5" t="inlineStr"/>
      <c r="O75" s="5" t="inlineStr">
        <is>
          <t>—</t>
        </is>
      </c>
      <c r="P75" s="5" t="inlineStr"/>
      <c r="Q75" s="5" t="inlineStr">
        <is>
          <t>ja na Trusted</t>
        </is>
      </c>
      <c r="R75" s="5" t="inlineStr"/>
      <c r="S75" s="5" t="inlineStr"/>
    </row>
    <row r="76">
      <c r="A76" s="5" t="inlineStr">
        <is>
          <t>Meta Ads</t>
        </is>
      </c>
      <c r="B76" s="5" t="inlineStr">
        <is>
          <t>BIGAZINE [E-COM + AQUISIÇÃO]</t>
        </is>
      </c>
      <c r="C76" s="5" t="inlineStr">
        <is>
          <t>206891331753918</t>
        </is>
      </c>
      <c r="D76" s="5" t="inlineStr">
        <is>
          <t>BIGAZINE - BOLETO</t>
        </is>
      </c>
      <c r="E76" s="5" t="inlineStr">
        <is>
          <t>facebook-ads-tWUr</t>
        </is>
      </c>
      <c r="F76" s="5" t="inlineStr">
        <is>
          <t>1 Funcional — dado ativo</t>
        </is>
      </c>
      <c r="G76" s="5" t="n">
        <v>8022</v>
      </c>
      <c r="H76" s="5" t="inlineStr">
        <is>
          <t>2026-10-20</t>
        </is>
      </c>
      <c r="I76" s="5" t="n">
        <v>171</v>
      </c>
      <c r="J76" s="5" t="n">
        <v>171.12</v>
      </c>
      <c r="K76" s="5" t="n">
        <v>-0.12</v>
      </c>
      <c r="L76" s="5" t="inlineStr">
        <is>
          <t>BRL</t>
        </is>
      </c>
      <c r="M76" s="5" t="inlineStr">
        <is>
          <t>gasto 13-19/10</t>
        </is>
      </c>
      <c r="N76" s="5" t="inlineStr"/>
      <c r="O76" s="5" t="inlineStr">
        <is>
          <t>Nekt (Jussara)</t>
        </is>
      </c>
      <c r="P76" s="5" t="inlineStr"/>
      <c r="Q76" s="5" t="inlineStr">
        <is>
          <t>E3 somar a Trusted de Facebook (apos 20/10)</t>
        </is>
      </c>
      <c r="R76" s="5" t="inlineStr">
        <is>
          <t>2026-10-21</t>
        </is>
      </c>
      <c r="S76" s="5" t="inlineStr"/>
    </row>
    <row r="77">
      <c r="A77" s="5" t="inlineStr">
        <is>
          <t>Meta Ads</t>
        </is>
      </c>
      <c r="B77" s="5" t="inlineStr">
        <is>
          <t>BRAGA (Grupo Completo)</t>
        </is>
      </c>
      <c r="C77" s="5" t="inlineStr">
        <is>
          <t>283877416196277</t>
        </is>
      </c>
      <c r="D77" s="5" t="inlineStr">
        <is>
          <t>CA- Braga Veículos</t>
        </is>
      </c>
      <c r="E77" s="5" t="inlineStr">
        <is>
          <t>facebook-ads-8RYU</t>
        </is>
      </c>
      <c r="F77" s="5" t="inlineStr">
        <is>
          <t>1 Funcional — dado ativo</t>
        </is>
      </c>
      <c r="G77" s="5" t="n">
        <v>38413</v>
      </c>
      <c r="H77" s="5" t="inlineStr">
        <is>
          <t>2026-10-20</t>
        </is>
      </c>
      <c r="I77" s="5" t="n">
        <v>5787.74</v>
      </c>
      <c r="J77" s="5" t="n">
        <v>5789.46</v>
      </c>
      <c r="K77" s="5" t="n">
        <v>-1.72</v>
      </c>
      <c r="L77" s="5" t="inlineStr">
        <is>
          <t>BRL</t>
        </is>
      </c>
      <c r="M77" s="5" t="inlineStr">
        <is>
          <t>gasto 13-19/10</t>
        </is>
      </c>
      <c r="N77" s="5" t="inlineStr"/>
      <c r="O77" s="5" t="inlineStr">
        <is>
          <t>Nekt (Jussara)</t>
        </is>
      </c>
      <c r="P77" s="5" t="inlineStr"/>
      <c r="Q77" s="5" t="inlineStr">
        <is>
          <t>E3 somar a Trusted de Facebook (apos 20/10)</t>
        </is>
      </c>
      <c r="R77" s="5" t="inlineStr">
        <is>
          <t>2026-10-21</t>
        </is>
      </c>
      <c r="S77" s="5" t="inlineStr"/>
    </row>
    <row r="78">
      <c r="A78" s="5" t="inlineStr">
        <is>
          <t>Meta Ads</t>
        </is>
      </c>
      <c r="B78" s="5" t="inlineStr">
        <is>
          <t>BRAGA (Grupo Completo)</t>
        </is>
      </c>
      <c r="C78" s="5" t="inlineStr">
        <is>
          <t>566562488446148</t>
        </is>
      </c>
      <c r="D78" s="5" t="inlineStr">
        <is>
          <t>Braga Motors - Carro</t>
        </is>
      </c>
      <c r="E78" s="5" t="inlineStr">
        <is>
          <t>facebook-ads-SGls</t>
        </is>
      </c>
      <c r="F78" s="5" t="inlineStr">
        <is>
          <t>1 Funcional — dado ativo</t>
        </is>
      </c>
      <c r="G78" s="5" t="n">
        <v>19114</v>
      </c>
      <c r="H78" s="5" t="inlineStr">
        <is>
          <t>2026-10-20</t>
        </is>
      </c>
      <c r="I78" s="5" t="n">
        <v>1506.72</v>
      </c>
      <c r="J78" s="5" t="n">
        <v>1507.06</v>
      </c>
      <c r="K78" s="5" t="n">
        <v>-0.34</v>
      </c>
      <c r="L78" s="5" t="inlineStr">
        <is>
          <t>BRL</t>
        </is>
      </c>
      <c r="M78" s="5" t="inlineStr">
        <is>
          <t>gasto 13-19/10</t>
        </is>
      </c>
      <c r="N78" s="5" t="inlineStr"/>
      <c r="O78" s="5" t="inlineStr">
        <is>
          <t>Nekt (Jussara)</t>
        </is>
      </c>
      <c r="P78" s="5" t="inlineStr"/>
      <c r="Q78" s="5" t="inlineStr">
        <is>
          <t>E3 somar a Trusted de Facebook (apos 20/10)</t>
        </is>
      </c>
      <c r="R78" s="5" t="inlineStr">
        <is>
          <t>2026-10-21</t>
        </is>
      </c>
      <c r="S78" s="5" t="inlineStr"/>
    </row>
    <row r="79">
      <c r="A79" s="5" t="inlineStr">
        <is>
          <t>Meta Ads</t>
        </is>
      </c>
      <c r="B79" s="5" t="inlineStr">
        <is>
          <t>BRAGA (Grupo Completo)</t>
        </is>
      </c>
      <c r="C79" s="5" t="inlineStr">
        <is>
          <t>463307521829322</t>
        </is>
      </c>
      <c r="D79" s="5" t="inlineStr">
        <is>
          <t>Braga Motors - Motorrad</t>
        </is>
      </c>
      <c r="E79" s="5" t="inlineStr">
        <is>
          <t>facebook-ads-lk1y</t>
        </is>
      </c>
      <c r="F79" s="5" t="inlineStr">
        <is>
          <t>1 Funcional — dado ativo</t>
        </is>
      </c>
      <c r="G79" s="5" t="n">
        <v>11193</v>
      </c>
      <c r="H79" s="5" t="inlineStr">
        <is>
          <t>2026-10-20</t>
        </is>
      </c>
      <c r="I79" s="5" t="n">
        <v>1297.81</v>
      </c>
      <c r="J79" s="5" t="n">
        <v>1297.81</v>
      </c>
      <c r="K79" s="5" t="n">
        <v>0</v>
      </c>
      <c r="L79" s="5" t="inlineStr">
        <is>
          <t>BRL</t>
        </is>
      </c>
      <c r="M79" s="5" t="inlineStr">
        <is>
          <t>gasto 13-19/10</t>
        </is>
      </c>
      <c r="N79" s="5" t="inlineStr"/>
      <c r="O79" s="5" t="inlineStr">
        <is>
          <t>Nekt (Jussara)</t>
        </is>
      </c>
      <c r="P79" s="5" t="inlineStr"/>
      <c r="Q79" s="5" t="inlineStr">
        <is>
          <t>E3 somar a Trusted de Facebook (apos 20/10)</t>
        </is>
      </c>
      <c r="R79" s="5" t="inlineStr">
        <is>
          <t>2026-10-21</t>
        </is>
      </c>
      <c r="S79" s="5" t="inlineStr"/>
    </row>
    <row r="80">
      <c r="A80" s="5" t="inlineStr">
        <is>
          <t>Meta Ads</t>
        </is>
      </c>
      <c r="B80" s="5" t="inlineStr">
        <is>
          <t>BRAGA (Grupo Completo)</t>
        </is>
      </c>
      <c r="C80" s="5" t="inlineStr">
        <is>
          <t>1882475891963192</t>
        </is>
      </c>
      <c r="D80" s="5" t="inlineStr">
        <is>
          <t>Braga Motors - MINI</t>
        </is>
      </c>
      <c r="E80" s="5" t="inlineStr">
        <is>
          <t>facebook-ads-Ew4q</t>
        </is>
      </c>
      <c r="F80" s="5" t="inlineStr">
        <is>
          <t>1 Funcional — dado ativo</t>
        </is>
      </c>
      <c r="G80" s="5" t="n">
        <v>10978</v>
      </c>
      <c r="H80" s="5" t="inlineStr">
        <is>
          <t>2026-10-20</t>
        </is>
      </c>
      <c r="I80" s="5" t="n">
        <v>2261.36</v>
      </c>
      <c r="J80" s="5" t="n">
        <v>2261.37</v>
      </c>
      <c r="K80" s="5" t="n">
        <v>-0.01</v>
      </c>
      <c r="L80" s="5" t="inlineStr">
        <is>
          <t>BRL</t>
        </is>
      </c>
      <c r="M80" s="5" t="inlineStr">
        <is>
          <t>gasto 13-19/10</t>
        </is>
      </c>
      <c r="N80" s="5" t="inlineStr"/>
      <c r="O80" s="5" t="inlineStr">
        <is>
          <t>Nekt (Jussara)</t>
        </is>
      </c>
      <c r="P80" s="5" t="inlineStr"/>
      <c r="Q80" s="5" t="inlineStr">
        <is>
          <t>E3 somar a Trusted de Facebook (apos 20/10)</t>
        </is>
      </c>
      <c r="R80" s="5" t="inlineStr">
        <is>
          <t>2026-10-21</t>
        </is>
      </c>
      <c r="S80" s="5" t="inlineStr"/>
    </row>
    <row r="81">
      <c r="A81" s="5" t="inlineStr">
        <is>
          <t>Meta Ads</t>
        </is>
      </c>
      <c r="B81" s="5" t="inlineStr">
        <is>
          <t>BRAGA (Grupo Completo)</t>
        </is>
      </c>
      <c r="C81" s="5" t="inlineStr">
        <is>
          <t>1578951605973326</t>
        </is>
      </c>
      <c r="D81" s="5" t="inlineStr">
        <is>
          <t>CA- Braga Veículos Venda Direta</t>
        </is>
      </c>
      <c r="E81" s="5" t="inlineStr">
        <is>
          <t>facebook-ads-CebU</t>
        </is>
      </c>
      <c r="F81" s="5" t="inlineStr">
        <is>
          <t>1 Funcional — dado ativo</t>
        </is>
      </c>
      <c r="G81" s="5" t="n">
        <v>16215</v>
      </c>
      <c r="H81" s="5" t="inlineStr">
        <is>
          <t>2026-10-20</t>
        </is>
      </c>
      <c r="I81" s="5" t="n">
        <v>803.22</v>
      </c>
      <c r="J81" s="5" t="n">
        <v>803.23</v>
      </c>
      <c r="K81" s="5" t="n">
        <v>-0.01</v>
      </c>
      <c r="L81" s="5" t="inlineStr">
        <is>
          <t>BRL</t>
        </is>
      </c>
      <c r="M81" s="5" t="inlineStr">
        <is>
          <t>gasto 13-19/10</t>
        </is>
      </c>
      <c r="N81" s="5" t="inlineStr"/>
      <c r="O81" s="5" t="inlineStr">
        <is>
          <t>Nekt (Jussara)</t>
        </is>
      </c>
      <c r="P81" s="5" t="inlineStr"/>
      <c r="Q81" s="5" t="inlineStr">
        <is>
          <t>E3 somar a Trusted de Facebook (apos 20/10)</t>
        </is>
      </c>
      <c r="R81" s="5" t="inlineStr">
        <is>
          <t>2026-10-21</t>
        </is>
      </c>
      <c r="S81" s="5" t="inlineStr"/>
    </row>
    <row r="82">
      <c r="A82" s="5" t="inlineStr">
        <is>
          <t>Meta Ads</t>
        </is>
      </c>
      <c r="B82" s="5" t="inlineStr">
        <is>
          <t>BRAGA (Grupo Completo)</t>
        </is>
      </c>
      <c r="C82" s="5" t="inlineStr">
        <is>
          <t>1899695863819525</t>
        </is>
      </c>
      <c r="D82" s="5" t="inlineStr">
        <is>
          <t>CA- Braga Acessórios MAO</t>
        </is>
      </c>
      <c r="E82" s="5" t="inlineStr">
        <is>
          <t>facebook-ads-Tqjf</t>
        </is>
      </c>
      <c r="F82" s="5" t="inlineStr">
        <is>
          <t>1 Funcional — dado ativo</t>
        </is>
      </c>
      <c r="G82" s="5" t="n">
        <v>38530</v>
      </c>
      <c r="H82" s="5" t="inlineStr">
        <is>
          <t>2026-10-20</t>
        </is>
      </c>
      <c r="I82" s="5" t="n">
        <v>1082.09</v>
      </c>
      <c r="J82" s="5" t="n">
        <v>1082.11</v>
      </c>
      <c r="K82" s="5" t="n">
        <v>-0.02</v>
      </c>
      <c r="L82" s="5" t="inlineStr">
        <is>
          <t>BRL</t>
        </is>
      </c>
      <c r="M82" s="5" t="inlineStr">
        <is>
          <t>gasto 13-19/10</t>
        </is>
      </c>
      <c r="N82" s="5" t="inlineStr"/>
      <c r="O82" s="5" t="inlineStr">
        <is>
          <t>Nekt (Jussara)</t>
        </is>
      </c>
      <c r="P82" s="5" t="inlineStr"/>
      <c r="Q82" s="5" t="inlineStr">
        <is>
          <t>E3 somar a Trusted de Facebook (apos 20/10)</t>
        </is>
      </c>
      <c r="R82" s="5" t="inlineStr">
        <is>
          <t>2026-10-21</t>
        </is>
      </c>
      <c r="S82" s="5" t="inlineStr"/>
    </row>
    <row r="83">
      <c r="A83" s="5" t="inlineStr">
        <is>
          <t>Meta Ads</t>
        </is>
      </c>
      <c r="B83" s="5" t="inlineStr">
        <is>
          <t>BRAGA (Grupo Completo)</t>
        </is>
      </c>
      <c r="C83" s="5" t="inlineStr">
        <is>
          <t>448596103793051</t>
        </is>
      </c>
      <c r="D83" s="5" t="inlineStr">
        <is>
          <t>CA - Braga Motos Rey MAO (ROYAL)</t>
        </is>
      </c>
      <c r="E83" s="5" t="inlineStr">
        <is>
          <t>facebook-ads-ezGP</t>
        </is>
      </c>
      <c r="F83" s="5" t="inlineStr">
        <is>
          <t>1 Funcional — dado ativo</t>
        </is>
      </c>
      <c r="G83" s="5" t="n">
        <v>37318</v>
      </c>
      <c r="H83" s="5" t="inlineStr">
        <is>
          <t>2026-10-20</t>
        </is>
      </c>
      <c r="I83" s="5" t="n">
        <v>1208.56</v>
      </c>
      <c r="J83" s="5" t="n">
        <v>1208.82</v>
      </c>
      <c r="K83" s="5" t="n">
        <v>-0.26</v>
      </c>
      <c r="L83" s="5" t="inlineStr">
        <is>
          <t>BRL</t>
        </is>
      </c>
      <c r="M83" s="5" t="inlineStr">
        <is>
          <t>gasto 13-19/10</t>
        </is>
      </c>
      <c r="N83" s="5" t="inlineStr"/>
      <c r="O83" s="5" t="inlineStr">
        <is>
          <t>Nekt (Jussara)</t>
        </is>
      </c>
      <c r="P83" s="5" t="inlineStr"/>
      <c r="Q83" s="5" t="inlineStr">
        <is>
          <t>E3 somar a Trusted de Facebook (apos 20/10)</t>
        </is>
      </c>
      <c r="R83" s="5" t="inlineStr">
        <is>
          <t>2026-10-21</t>
        </is>
      </c>
      <c r="S83" s="5" t="inlineStr"/>
    </row>
    <row r="84">
      <c r="A84" s="5" t="inlineStr">
        <is>
          <t>Meta Ads</t>
        </is>
      </c>
      <c r="B84" s="5" t="inlineStr">
        <is>
          <t>BRAGA (Grupo Completo)</t>
        </is>
      </c>
      <c r="C84" s="5" t="inlineStr">
        <is>
          <t>903840726905396</t>
        </is>
      </c>
      <c r="D84" s="5" t="inlineStr">
        <is>
          <t>CA - Braga Consórcios MAO</t>
        </is>
      </c>
      <c r="E84" s="5" t="inlineStr">
        <is>
          <t>facebook-ads-ckhA</t>
        </is>
      </c>
      <c r="F84" s="5" t="inlineStr">
        <is>
          <t>1 Funcional — dado ativo</t>
        </is>
      </c>
      <c r="G84" s="5" t="n">
        <v>20623</v>
      </c>
      <c r="H84" s="5" t="inlineStr">
        <is>
          <t>2026-10-20</t>
        </is>
      </c>
      <c r="I84" s="5" t="n">
        <v>518.48</v>
      </c>
      <c r="J84" s="5" t="n">
        <v>518.55</v>
      </c>
      <c r="K84" s="5" t="n">
        <v>-0.07000000000000001</v>
      </c>
      <c r="L84" s="5" t="inlineStr">
        <is>
          <t>BRL</t>
        </is>
      </c>
      <c r="M84" s="5" t="inlineStr">
        <is>
          <t>gasto 13-19/10</t>
        </is>
      </c>
      <c r="N84" s="5" t="inlineStr"/>
      <c r="O84" s="5" t="inlineStr">
        <is>
          <t>Nekt (Jussara)</t>
        </is>
      </c>
      <c r="P84" s="5" t="inlineStr"/>
      <c r="Q84" s="5" t="inlineStr">
        <is>
          <t>E3 somar a Trusted de Facebook (apos 20/10)</t>
        </is>
      </c>
      <c r="R84" s="5" t="inlineStr">
        <is>
          <t>2026-10-21</t>
        </is>
      </c>
      <c r="S84" s="5" t="inlineStr"/>
    </row>
    <row r="85">
      <c r="A85" s="5" t="inlineStr">
        <is>
          <t>Meta Ads</t>
        </is>
      </c>
      <c r="B85" s="5" t="inlineStr">
        <is>
          <t>BRAGA (Grupo Completo)</t>
        </is>
      </c>
      <c r="C85" s="5" t="inlineStr">
        <is>
          <t>809512766265620</t>
        </is>
      </c>
      <c r="D85" s="5" t="inlineStr">
        <is>
          <t>CA - Braga Motos Pós Vendas MAO</t>
        </is>
      </c>
      <c r="E85" s="5" t="inlineStr">
        <is>
          <t>facebook-ads-smxd</t>
        </is>
      </c>
      <c r="F85" s="5" t="inlineStr">
        <is>
          <t>1 Funcional — dado ativo</t>
        </is>
      </c>
      <c r="G85" s="5" t="n">
        <v>19471</v>
      </c>
      <c r="H85" s="5" t="inlineStr">
        <is>
          <t>2026-10-20</t>
        </is>
      </c>
      <c r="I85" s="5" t="n">
        <v>223.37</v>
      </c>
      <c r="J85" s="5" t="n">
        <v>223.46</v>
      </c>
      <c r="K85" s="5" t="n">
        <v>-0.09</v>
      </c>
      <c r="L85" s="5" t="inlineStr">
        <is>
          <t>BRL</t>
        </is>
      </c>
      <c r="M85" s="5" t="inlineStr">
        <is>
          <t>gasto 13-19/10</t>
        </is>
      </c>
      <c r="N85" s="5" t="inlineStr"/>
      <c r="O85" s="5" t="inlineStr">
        <is>
          <t>Nekt (Jussara)</t>
        </is>
      </c>
      <c r="P85" s="5" t="inlineStr"/>
      <c r="Q85" s="5" t="inlineStr">
        <is>
          <t>E3 somar a Trusted de Facebook (apos 20/10)</t>
        </is>
      </c>
      <c r="R85" s="5" t="inlineStr">
        <is>
          <t>2026-10-21</t>
        </is>
      </c>
      <c r="S85" s="5" t="inlineStr"/>
    </row>
    <row r="86">
      <c r="A86" s="5" t="inlineStr">
        <is>
          <t>Meta Ads</t>
        </is>
      </c>
      <c r="B86" s="5" t="inlineStr">
        <is>
          <t>BRAGA (Grupo Completo)</t>
        </is>
      </c>
      <c r="C86" s="5" t="inlineStr">
        <is>
          <t>1966625676863140</t>
        </is>
      </c>
      <c r="D86" s="5" t="inlineStr">
        <is>
          <t>CA- Braga Veículos Pós Vendas</t>
        </is>
      </c>
      <c r="E86" s="5" t="inlineStr">
        <is>
          <t>facebook-ads-kQ2S</t>
        </is>
      </c>
      <c r="F86" s="5" t="inlineStr">
        <is>
          <t>1 Funcional — dado ativo</t>
        </is>
      </c>
      <c r="G86" s="5" t="n">
        <v>25464</v>
      </c>
      <c r="H86" s="5" t="inlineStr">
        <is>
          <t>2026-10-20</t>
        </is>
      </c>
      <c r="I86" s="5" t="n">
        <v>759.28</v>
      </c>
      <c r="J86" s="5" t="n">
        <v>759.72</v>
      </c>
      <c r="K86" s="5" t="n">
        <v>-0.44</v>
      </c>
      <c r="L86" s="5" t="inlineStr">
        <is>
          <t>BRL</t>
        </is>
      </c>
      <c r="M86" s="5" t="inlineStr">
        <is>
          <t>gasto 13-19/10</t>
        </is>
      </c>
      <c r="N86" s="5" t="inlineStr"/>
      <c r="O86" s="5" t="inlineStr">
        <is>
          <t>—</t>
        </is>
      </c>
      <c r="P86" s="5" t="inlineStr"/>
      <c r="Q86" s="5" t="inlineStr">
        <is>
          <t>ja na Trusted</t>
        </is>
      </c>
      <c r="R86" s="5" t="inlineStr"/>
      <c r="S86" s="5" t="inlineStr"/>
    </row>
    <row r="87">
      <c r="A87" s="5" t="inlineStr">
        <is>
          <t>Meta Ads</t>
        </is>
      </c>
      <c r="B87" s="5" t="inlineStr">
        <is>
          <t>BRAGA (Grupo Completo)</t>
        </is>
      </c>
      <c r="C87" s="5" t="inlineStr">
        <is>
          <t>1172209193972759</t>
        </is>
      </c>
      <c r="D87" s="5" t="inlineStr">
        <is>
          <t>CA- Braga Motos MAO</t>
        </is>
      </c>
      <c r="E87" s="5" t="inlineStr">
        <is>
          <t>facebook-ads-GWZ2</t>
        </is>
      </c>
      <c r="F87" s="5" t="inlineStr">
        <is>
          <t>1 Funcional — dado ativo</t>
        </is>
      </c>
      <c r="G87" s="5" t="n">
        <v>39326</v>
      </c>
      <c r="H87" s="5" t="inlineStr">
        <is>
          <t>2026-10-20</t>
        </is>
      </c>
      <c r="I87" s="5" t="n">
        <v>2020.39</v>
      </c>
      <c r="J87" s="5" t="n">
        <v>2021.58</v>
      </c>
      <c r="K87" s="5" t="n">
        <v>-1.19</v>
      </c>
      <c r="L87" s="5" t="inlineStr">
        <is>
          <t>BRL</t>
        </is>
      </c>
      <c r="M87" s="5" t="inlineStr">
        <is>
          <t>gasto 13-19/10</t>
        </is>
      </c>
      <c r="N87" s="5" t="inlineStr"/>
      <c r="O87" s="5" t="inlineStr">
        <is>
          <t>—</t>
        </is>
      </c>
      <c r="P87" s="5" t="inlineStr"/>
      <c r="Q87" s="5" t="inlineStr">
        <is>
          <t>ja na Trusted</t>
        </is>
      </c>
      <c r="R87" s="5" t="inlineStr"/>
      <c r="S87" s="5" t="inlineStr"/>
    </row>
    <row r="88">
      <c r="A88" s="5" t="inlineStr">
        <is>
          <t>Meta Ads</t>
        </is>
      </c>
      <c r="B88" s="5" t="inlineStr">
        <is>
          <t>CAA ALUMÍNIO</t>
        </is>
      </c>
      <c r="C88" s="5" t="inlineStr">
        <is>
          <t>3384094671807625</t>
        </is>
      </c>
      <c r="D88" s="5" t="inlineStr">
        <is>
          <t>CAA | ALUMÍNIO</t>
        </is>
      </c>
      <c r="E88" s="5" t="inlineStr">
        <is>
          <t>facebook-ads-WQmP</t>
        </is>
      </c>
      <c r="F88" s="5" t="inlineStr">
        <is>
          <t>1 Funcional — dado ativo</t>
        </is>
      </c>
      <c r="G88" s="5" t="n">
        <v>6033</v>
      </c>
      <c r="H88" s="5" t="inlineStr">
        <is>
          <t>2026-10-20</t>
        </is>
      </c>
      <c r="I88" s="5" t="n">
        <v>74.41</v>
      </c>
      <c r="J88" s="5" t="n">
        <v>74.43000000000001</v>
      </c>
      <c r="K88" s="5" t="n">
        <v>-0.02</v>
      </c>
      <c r="L88" s="5" t="inlineStr">
        <is>
          <t>BRL</t>
        </is>
      </c>
      <c r="M88" s="5" t="inlineStr">
        <is>
          <t>gasto 13-19/10</t>
        </is>
      </c>
      <c r="N88" s="5" t="inlineStr"/>
      <c r="O88" s="5" t="inlineStr">
        <is>
          <t>Nekt (Jussara)</t>
        </is>
      </c>
      <c r="P88" s="5" t="inlineStr"/>
      <c r="Q88" s="5" t="inlineStr">
        <is>
          <t>E3 somar a Trusted de Facebook (apos 20/10)</t>
        </is>
      </c>
      <c r="R88" s="5" t="inlineStr">
        <is>
          <t>2026-10-21</t>
        </is>
      </c>
      <c r="S88" s="5" t="inlineStr"/>
    </row>
    <row r="89">
      <c r="A89" s="5" t="inlineStr">
        <is>
          <t>Meta Ads</t>
        </is>
      </c>
      <c r="B89" s="5" t="inlineStr">
        <is>
          <t>CAA TINTAS</t>
        </is>
      </c>
      <c r="C89" s="5" t="inlineStr">
        <is>
          <t>1439421523351648</t>
        </is>
      </c>
      <c r="D89" s="5" t="inlineStr">
        <is>
          <t>CAA | TINTAS EXPRESS</t>
        </is>
      </c>
      <c r="E89" s="5" t="inlineStr">
        <is>
          <t>facebook-ads-K2kh</t>
        </is>
      </c>
      <c r="F89" s="5" t="inlineStr">
        <is>
          <t>1 Funcional — dado ativo</t>
        </is>
      </c>
      <c r="G89" s="5" t="n">
        <v>3164</v>
      </c>
      <c r="H89" s="5" t="inlineStr">
        <is>
          <t>2026-10-19</t>
        </is>
      </c>
      <c r="I89" s="5" t="n">
        <v>209.69</v>
      </c>
      <c r="J89" s="5" t="n">
        <v>209.69</v>
      </c>
      <c r="K89" s="5" t="n">
        <v>0</v>
      </c>
      <c r="L89" s="5" t="inlineStr">
        <is>
          <t>BRL</t>
        </is>
      </c>
      <c r="M89" s="5" t="inlineStr">
        <is>
          <t>gasto 13-19/10</t>
        </is>
      </c>
      <c r="N89" s="5" t="inlineStr"/>
      <c r="O89" s="5" t="inlineStr">
        <is>
          <t>Nekt (Jussara)</t>
        </is>
      </c>
      <c r="P89" s="5" t="inlineStr"/>
      <c r="Q89" s="5" t="inlineStr">
        <is>
          <t>E3 somar a Trusted de Facebook (apos 20/10)</t>
        </is>
      </c>
      <c r="R89" s="5" t="inlineStr">
        <is>
          <t>2026-10-21</t>
        </is>
      </c>
      <c r="S89" s="5" t="inlineStr"/>
    </row>
    <row r="90">
      <c r="A90" s="5" t="inlineStr">
        <is>
          <t>Meta Ads</t>
        </is>
      </c>
      <c r="B90" s="5" t="inlineStr">
        <is>
          <t>CDL MANAUS</t>
        </is>
      </c>
      <c r="C90" s="5" t="inlineStr">
        <is>
          <t>474967098302512</t>
        </is>
      </c>
      <c r="D90" s="5" t="inlineStr">
        <is>
          <t>CDL MANAUS</t>
        </is>
      </c>
      <c r="E90" s="5" t="inlineStr">
        <is>
          <t>facebook-ads-oVkz</t>
        </is>
      </c>
      <c r="F90" s="5" t="inlineStr">
        <is>
          <t>1 Funcional — dado ativo</t>
        </is>
      </c>
      <c r="G90" s="5" t="n">
        <v>2453</v>
      </c>
      <c r="H90" s="5" t="inlineStr">
        <is>
          <t>2026-10-20</t>
        </is>
      </c>
      <c r="I90" s="5" t="n">
        <v>476.78</v>
      </c>
      <c r="J90" s="5" t="n">
        <v>476.79</v>
      </c>
      <c r="K90" s="5" t="n">
        <v>-0.01</v>
      </c>
      <c r="L90" s="5" t="inlineStr">
        <is>
          <t>BRL</t>
        </is>
      </c>
      <c r="M90" s="5" t="inlineStr">
        <is>
          <t>gasto 13-19/10</t>
        </is>
      </c>
      <c r="N90" s="5" t="inlineStr"/>
      <c r="O90" s="5" t="inlineStr">
        <is>
          <t>Nekt (Jussara)</t>
        </is>
      </c>
      <c r="P90" s="5" t="inlineStr"/>
      <c r="Q90" s="5" t="inlineStr">
        <is>
          <t>E3 somar a Trusted de Facebook (apos 20/10)</t>
        </is>
      </c>
      <c r="R90" s="5" t="inlineStr">
        <is>
          <t>2026-10-21</t>
        </is>
      </c>
      <c r="S90" s="5" t="inlineStr"/>
    </row>
    <row r="91">
      <c r="A91" s="5" t="inlineStr">
        <is>
          <t>Meta Ads</t>
        </is>
      </c>
      <c r="B91" s="5" t="inlineStr">
        <is>
          <t>COLMEIA</t>
        </is>
      </c>
      <c r="C91" s="5" t="inlineStr">
        <is>
          <t>781268383219049</t>
        </is>
      </c>
      <c r="D91" s="5" t="inlineStr">
        <is>
          <t>Colmeia - Cartão</t>
        </is>
      </c>
      <c r="E91" s="5" t="inlineStr">
        <is>
          <t>facebook-ads-ln1a</t>
        </is>
      </c>
      <c r="F91" s="5" t="inlineStr">
        <is>
          <t>1 Funcional — dado ativo</t>
        </is>
      </c>
      <c r="G91" s="5" t="n">
        <v>25593</v>
      </c>
      <c r="H91" s="5" t="inlineStr">
        <is>
          <t>2026-10-20</t>
        </is>
      </c>
      <c r="I91" s="5" t="n">
        <v>7845.19</v>
      </c>
      <c r="J91" s="5" t="n">
        <v>7848.09</v>
      </c>
      <c r="K91" s="5" t="n">
        <v>-2.9</v>
      </c>
      <c r="L91" s="5" t="inlineStr">
        <is>
          <t>BRL</t>
        </is>
      </c>
      <c r="M91" s="5" t="inlineStr">
        <is>
          <t>gasto 13-19/10</t>
        </is>
      </c>
      <c r="N91" s="5" t="inlineStr"/>
      <c r="O91" s="5" t="inlineStr">
        <is>
          <t>—</t>
        </is>
      </c>
      <c r="P91" s="5" t="inlineStr"/>
      <c r="Q91" s="5" t="inlineStr">
        <is>
          <t>ja na Trusted</t>
        </is>
      </c>
      <c r="R91" s="5" t="inlineStr"/>
      <c r="S91" s="5" t="inlineStr"/>
    </row>
    <row r="92">
      <c r="A92" s="5" t="inlineStr">
        <is>
          <t>Meta Ads</t>
        </is>
      </c>
      <c r="B92" s="5" t="inlineStr">
        <is>
          <t>COMAC</t>
        </is>
      </c>
      <c r="C92" s="5" t="inlineStr">
        <is>
          <t>180454263287280</t>
        </is>
      </c>
      <c r="D92" s="5" t="inlineStr">
        <is>
          <t>Comac</t>
        </is>
      </c>
      <c r="E92" s="5" t="inlineStr">
        <is>
          <t>facebook-ads-rPr1</t>
        </is>
      </c>
      <c r="F92" s="5" t="inlineStr">
        <is>
          <t>1 Funcional — dado ativo</t>
        </is>
      </c>
      <c r="G92" s="5" t="n">
        <v>5689</v>
      </c>
      <c r="H92" s="5" t="inlineStr">
        <is>
          <t>2026-10-20</t>
        </is>
      </c>
      <c r="I92" s="5" t="n">
        <v>293.49</v>
      </c>
      <c r="J92" s="5" t="n">
        <v>293.5</v>
      </c>
      <c r="K92" s="5" t="n">
        <v>-0.01</v>
      </c>
      <c r="L92" s="5" t="inlineStr">
        <is>
          <t>BRL</t>
        </is>
      </c>
      <c r="M92" s="5" t="inlineStr">
        <is>
          <t>gasto 13-19/10</t>
        </is>
      </c>
      <c r="N92" s="5" t="inlineStr"/>
      <c r="O92" s="5" t="inlineStr">
        <is>
          <t>Nekt (Jussara)</t>
        </is>
      </c>
      <c r="P92" s="5" t="inlineStr"/>
      <c r="Q92" s="5" t="inlineStr">
        <is>
          <t>E3 somar a Trusted de Facebook (apos 20/10)</t>
        </is>
      </c>
      <c r="R92" s="5" t="inlineStr">
        <is>
          <t>2026-10-21</t>
        </is>
      </c>
      <c r="S92" s="5" t="inlineStr"/>
    </row>
    <row r="93">
      <c r="A93" s="5" t="inlineStr">
        <is>
          <t>Meta Ads</t>
        </is>
      </c>
      <c r="B93" s="5" t="inlineStr">
        <is>
          <t>CONSTRÓI INCORPORADORA</t>
        </is>
      </c>
      <c r="C93" s="5" t="inlineStr">
        <is>
          <t>526683429550109</t>
        </is>
      </c>
      <c r="D93" s="5" t="inlineStr">
        <is>
          <t>Constroi ADS</t>
        </is>
      </c>
      <c r="E93" s="5" t="inlineStr">
        <is>
          <t>facebook-ads-oB7d</t>
        </is>
      </c>
      <c r="F93" s="5" t="inlineStr">
        <is>
          <t>1 Funcional — dado ativo</t>
        </is>
      </c>
      <c r="G93" s="5" t="n">
        <v>11610</v>
      </c>
      <c r="H93" s="5" t="inlineStr">
        <is>
          <t>2026-10-20</t>
        </is>
      </c>
      <c r="I93" s="5" t="n">
        <v>3759.93</v>
      </c>
      <c r="J93" s="5" t="n">
        <v>3761.65</v>
      </c>
      <c r="K93" s="5" t="n">
        <v>-1.72</v>
      </c>
      <c r="L93" s="5" t="inlineStr">
        <is>
          <t>BRL</t>
        </is>
      </c>
      <c r="M93" s="5" t="inlineStr">
        <is>
          <t>gasto 13-19/10</t>
        </is>
      </c>
      <c r="N93" s="5" t="inlineStr"/>
      <c r="O93" s="5" t="inlineStr">
        <is>
          <t>—</t>
        </is>
      </c>
      <c r="P93" s="5" t="inlineStr"/>
      <c r="Q93" s="5" t="inlineStr">
        <is>
          <t>ja na Trusted</t>
        </is>
      </c>
      <c r="R93" s="5" t="inlineStr"/>
      <c r="S93" s="5" t="inlineStr"/>
    </row>
    <row r="94">
      <c r="A94" s="5" t="inlineStr">
        <is>
          <t>Meta Ads</t>
        </is>
      </c>
      <c r="B94" s="5" t="inlineStr">
        <is>
          <t>Consórcio Chevrolet</t>
        </is>
      </c>
      <c r="C94" s="5" t="inlineStr">
        <is>
          <t>291639228868958</t>
        </is>
      </c>
      <c r="D94" s="5" t="inlineStr">
        <is>
          <t>Consórcio Chevrolet</t>
        </is>
      </c>
      <c r="E94" s="5" t="inlineStr">
        <is>
          <t>facebook-ads-ofJE</t>
        </is>
      </c>
      <c r="F94" s="5" t="inlineStr">
        <is>
          <t>1 Funcional — dado ativo</t>
        </is>
      </c>
      <c r="G94" s="5" t="n">
        <v>14714</v>
      </c>
      <c r="H94" s="5" t="inlineStr">
        <is>
          <t>2026-10-20</t>
        </is>
      </c>
      <c r="I94" s="5" t="n">
        <v>926.85</v>
      </c>
      <c r="J94" s="5" t="n">
        <v>926.88</v>
      </c>
      <c r="K94" s="5" t="n">
        <v>-0.03</v>
      </c>
      <c r="L94" s="5" t="inlineStr">
        <is>
          <t>BRL</t>
        </is>
      </c>
      <c r="M94" s="5" t="inlineStr">
        <is>
          <t>gasto 13-19/10</t>
        </is>
      </c>
      <c r="N94" s="5" t="inlineStr"/>
      <c r="O94" s="5" t="inlineStr">
        <is>
          <t>Nekt (Jussara)</t>
        </is>
      </c>
      <c r="P94" s="5" t="inlineStr"/>
      <c r="Q94" s="5" t="inlineStr">
        <is>
          <t>E3 somar a Trusted de Facebook (apos 20/10)</t>
        </is>
      </c>
      <c r="R94" s="5" t="inlineStr">
        <is>
          <t>2026-10-21</t>
        </is>
      </c>
      <c r="S94" s="5" t="inlineStr"/>
    </row>
    <row r="95">
      <c r="A95" s="5" t="inlineStr">
        <is>
          <t>Meta Ads</t>
        </is>
      </c>
      <c r="B95" s="5" t="inlineStr">
        <is>
          <t>DR. CABRAL</t>
        </is>
      </c>
      <c r="C95" s="5" t="inlineStr">
        <is>
          <t>1487130863198154</t>
        </is>
      </c>
      <c r="D95" s="5" t="inlineStr">
        <is>
          <t>Cabral v2</t>
        </is>
      </c>
      <c r="E95" s="5" t="inlineStr">
        <is>
          <t>facebook-ads-tzO2</t>
        </is>
      </c>
      <c r="F95" s="5" t="inlineStr">
        <is>
          <t>1 Funcional — dado ativo</t>
        </is>
      </c>
      <c r="G95" s="5" t="n">
        <v>2456</v>
      </c>
      <c r="H95" s="5" t="inlineStr">
        <is>
          <t>2026-10-20</t>
        </is>
      </c>
      <c r="I95" s="5" t="n">
        <v>763.91</v>
      </c>
      <c r="J95" s="5" t="n">
        <v>763.91</v>
      </c>
      <c r="K95" s="5" t="n">
        <v>0</v>
      </c>
      <c r="L95" s="5" t="inlineStr">
        <is>
          <t>BRL</t>
        </is>
      </c>
      <c r="M95" s="5" t="inlineStr">
        <is>
          <t>gasto 13-19/10</t>
        </is>
      </c>
      <c r="N95" s="5" t="inlineStr"/>
      <c r="O95" s="5" t="inlineStr">
        <is>
          <t>Nekt (Jussara)</t>
        </is>
      </c>
      <c r="P95" s="5" t="inlineStr"/>
      <c r="Q95" s="5" t="inlineStr">
        <is>
          <t>E3 somar a Trusted de Facebook (apos 20/10)</t>
        </is>
      </c>
      <c r="R95" s="5" t="inlineStr">
        <is>
          <t>2026-10-21</t>
        </is>
      </c>
      <c r="S95" s="5" t="inlineStr"/>
    </row>
    <row r="96">
      <c r="A96" s="5" t="inlineStr">
        <is>
          <t>Meta Ads</t>
        </is>
      </c>
      <c r="B96" s="5" t="inlineStr">
        <is>
          <t>HAGE</t>
        </is>
      </c>
      <c r="C96" s="5" t="inlineStr">
        <is>
          <t>971212355687773</t>
        </is>
      </c>
      <c r="D96" s="5" t="inlineStr">
        <is>
          <t>Grupo Hage Alimentos</t>
        </is>
      </c>
      <c r="E96" s="5" t="inlineStr">
        <is>
          <t>facebook-ads-pbon</t>
        </is>
      </c>
      <c r="F96" s="5" t="inlineStr">
        <is>
          <t>1 Funcional — dado ativo</t>
        </is>
      </c>
      <c r="G96" s="5" t="n">
        <v>521</v>
      </c>
      <c r="H96" s="5" t="inlineStr">
        <is>
          <t>2026-10-20</t>
        </is>
      </c>
      <c r="I96" s="5" t="n">
        <v>627.9400000000001</v>
      </c>
      <c r="J96" s="5" t="n">
        <v>628.01</v>
      </c>
      <c r="K96" s="5" t="n">
        <v>-0.07000000000000001</v>
      </c>
      <c r="L96" s="5" t="inlineStr">
        <is>
          <t>BRL</t>
        </is>
      </c>
      <c r="M96" s="5" t="inlineStr">
        <is>
          <t>gasto 13-19/10</t>
        </is>
      </c>
      <c r="N96" s="5" t="inlineStr"/>
      <c r="O96" s="5" t="inlineStr">
        <is>
          <t>Nekt (Jussara)</t>
        </is>
      </c>
      <c r="P96" s="5" t="inlineStr"/>
      <c r="Q96" s="5" t="inlineStr">
        <is>
          <t>E3 somar a Trusted de Facebook (apos 20/10)</t>
        </is>
      </c>
      <c r="R96" s="5" t="inlineStr">
        <is>
          <t>2026-10-21</t>
        </is>
      </c>
      <c r="S96" s="5" t="inlineStr"/>
    </row>
    <row r="97">
      <c r="A97" s="5" t="inlineStr">
        <is>
          <t>Meta Ads</t>
        </is>
      </c>
      <c r="B97" s="5" t="inlineStr">
        <is>
          <t>HOSPITAL SANTA JÚLIA</t>
        </is>
      </c>
      <c r="C97" s="5" t="inlineStr">
        <is>
          <t>100906227323525</t>
        </is>
      </c>
      <c r="D97" s="5" t="inlineStr">
        <is>
          <t>Hospital Santa Júlia Ads</t>
        </is>
      </c>
      <c r="E97" s="5" t="inlineStr">
        <is>
          <t>facebook-ads-DtiV</t>
        </is>
      </c>
      <c r="F97" s="5" t="inlineStr">
        <is>
          <t>1 Funcional — dado ativo</t>
        </is>
      </c>
      <c r="G97" s="5" t="n">
        <v>7351</v>
      </c>
      <c r="H97" s="5" t="inlineStr">
        <is>
          <t>2026-10-13</t>
        </is>
      </c>
      <c r="I97" s="5" t="n">
        <v>0</v>
      </c>
      <c r="J97" s="5" t="n">
        <v>0</v>
      </c>
      <c r="K97" s="5" t="n">
        <v>0</v>
      </c>
      <c r="L97" s="5" t="inlineStr">
        <is>
          <t>BRL</t>
        </is>
      </c>
      <c r="M97" s="5" t="inlineStr">
        <is>
          <t>gasto 13-19/10</t>
        </is>
      </c>
      <c r="N97" s="5" t="inlineStr"/>
      <c r="O97" s="5" t="inlineStr">
        <is>
          <t>Nekt (Jussara)</t>
        </is>
      </c>
      <c r="P97" s="5" t="inlineStr"/>
      <c r="Q97" s="5" t="inlineStr">
        <is>
          <t>E3 somar a Trusted de Facebook (apos 20/10)</t>
        </is>
      </c>
      <c r="R97" s="5" t="inlineStr">
        <is>
          <t>2026-10-21</t>
        </is>
      </c>
      <c r="S97" s="5" t="inlineStr"/>
    </row>
    <row r="98">
      <c r="A98" s="5" t="inlineStr">
        <is>
          <t>Meta Ads</t>
        </is>
      </c>
      <c r="B98" s="5" t="inlineStr">
        <is>
          <t>INFORCELL</t>
        </is>
      </c>
      <c r="C98" s="5" t="inlineStr">
        <is>
          <t>1880827672299516</t>
        </is>
      </c>
      <c r="D98" s="5" t="inlineStr">
        <is>
          <t>CA INFORCELL - OFICIAL</t>
        </is>
      </c>
      <c r="E98" s="5" t="inlineStr">
        <is>
          <t>facebook-ads-5eAs</t>
        </is>
      </c>
      <c r="F98" s="5" t="inlineStr">
        <is>
          <t>1 Funcional — dado ativo</t>
        </is>
      </c>
      <c r="G98" s="5" t="n">
        <v>1587</v>
      </c>
      <c r="H98" s="5" t="inlineStr">
        <is>
          <t>2026-10-20</t>
        </is>
      </c>
      <c r="I98" s="5" t="n">
        <v>706.84</v>
      </c>
      <c r="J98" s="5" t="n">
        <v>706.85</v>
      </c>
      <c r="K98" s="5" t="n">
        <v>-0.01</v>
      </c>
      <c r="L98" s="5" t="inlineStr">
        <is>
          <t>BRL</t>
        </is>
      </c>
      <c r="M98" s="5" t="inlineStr">
        <is>
          <t>gasto 13-19/10</t>
        </is>
      </c>
      <c r="N98" s="5" t="inlineStr"/>
      <c r="O98" s="5" t="inlineStr">
        <is>
          <t>Nekt (Jussara)</t>
        </is>
      </c>
      <c r="P98" s="5" t="inlineStr"/>
      <c r="Q98" s="5" t="inlineStr">
        <is>
          <t>E3 somar a Trusted de Facebook (apos 20/10)</t>
        </is>
      </c>
      <c r="R98" s="5" t="inlineStr">
        <is>
          <t>2026-10-21</t>
        </is>
      </c>
      <c r="S98" s="5" t="inlineStr"/>
    </row>
    <row r="99">
      <c r="A99" s="5" t="inlineStr">
        <is>
          <t>Meta Ads</t>
        </is>
      </c>
      <c r="B99" s="5" t="inlineStr">
        <is>
          <t>Japurá Pneus</t>
        </is>
      </c>
      <c r="C99" s="5" t="inlineStr">
        <is>
          <t>728255493211287</t>
        </is>
      </c>
      <c r="D99" s="5" t="inlineStr">
        <is>
          <t>Japurá Pneus</t>
        </is>
      </c>
      <c r="E99" s="5" t="inlineStr">
        <is>
          <t>facebook-ads-GZtZ</t>
        </is>
      </c>
      <c r="F99" s="5" t="inlineStr">
        <is>
          <t>1 Funcional — dado ativo</t>
        </is>
      </c>
      <c r="G99" s="5" t="n">
        <v>3193</v>
      </c>
      <c r="H99" s="5" t="inlineStr">
        <is>
          <t>2026-10-16</t>
        </is>
      </c>
      <c r="I99" s="5" t="n">
        <v>540.22</v>
      </c>
      <c r="J99" s="5" t="n">
        <v>540.22</v>
      </c>
      <c r="K99" s="5" t="n">
        <v>0</v>
      </c>
      <c r="L99" s="5" t="inlineStr">
        <is>
          <t>BRL</t>
        </is>
      </c>
      <c r="M99" s="5" t="inlineStr">
        <is>
          <t>gasto 13-19/10</t>
        </is>
      </c>
      <c r="N99" s="5" t="inlineStr"/>
      <c r="O99" s="5" t="inlineStr">
        <is>
          <t>Nekt (Jussara)</t>
        </is>
      </c>
      <c r="P99" s="5" t="inlineStr"/>
      <c r="Q99" s="5" t="inlineStr">
        <is>
          <t>E3 somar a Trusted de Facebook (apos 20/10)</t>
        </is>
      </c>
      <c r="R99" s="5" t="inlineStr">
        <is>
          <t>2026-10-21</t>
        </is>
      </c>
      <c r="S99" s="5" t="inlineStr"/>
    </row>
    <row r="100">
      <c r="A100" s="5" t="inlineStr">
        <is>
          <t>Meta Ads</t>
        </is>
      </c>
      <c r="B100" s="5" t="inlineStr">
        <is>
          <t>KIFFER</t>
        </is>
      </c>
      <c r="C100" s="5" t="inlineStr">
        <is>
          <t>2368278856934990</t>
        </is>
      </c>
      <c r="D100" s="5" t="inlineStr">
        <is>
          <t>Kiffer - ADS</t>
        </is>
      </c>
      <c r="E100" s="5" t="inlineStr">
        <is>
          <t>facebook-ads-Uu0D</t>
        </is>
      </c>
      <c r="F100" s="5" t="inlineStr">
        <is>
          <t>1 Funcional — dado ativo</t>
        </is>
      </c>
      <c r="G100" s="5" t="n">
        <v>1134</v>
      </c>
      <c r="H100" s="5" t="inlineStr">
        <is>
          <t>2026-10-20</t>
        </is>
      </c>
      <c r="I100" s="5" t="n">
        <v>181.89</v>
      </c>
      <c r="J100" s="5" t="n">
        <v>181.89</v>
      </c>
      <c r="K100" s="5" t="n">
        <v>0</v>
      </c>
      <c r="L100" s="5" t="inlineStr">
        <is>
          <t>BRL</t>
        </is>
      </c>
      <c r="M100" s="5" t="inlineStr">
        <is>
          <t>gasto 13-19/10</t>
        </is>
      </c>
      <c r="N100" s="5" t="inlineStr"/>
      <c r="O100" s="5" t="inlineStr">
        <is>
          <t>Nekt (Jussara)</t>
        </is>
      </c>
      <c r="P100" s="5" t="inlineStr"/>
      <c r="Q100" s="5" t="inlineStr">
        <is>
          <t>E3 somar a Trusted de Facebook (apos 20/10)</t>
        </is>
      </c>
      <c r="R100" s="5" t="inlineStr">
        <is>
          <t>2026-10-21</t>
        </is>
      </c>
      <c r="S100" s="5" t="inlineStr"/>
    </row>
    <row r="101">
      <c r="A101" s="5" t="inlineStr">
        <is>
          <t>Meta Ads</t>
        </is>
      </c>
      <c r="B101" s="5" t="inlineStr">
        <is>
          <t>LEAP MOTORS</t>
        </is>
      </c>
      <c r="C101" s="5" t="inlineStr">
        <is>
          <t>1380362517366530</t>
        </is>
      </c>
      <c r="D101" s="5" t="inlineStr">
        <is>
          <t>Leapmotor VM I Reserva</t>
        </is>
      </c>
      <c r="E101" s="5" t="inlineStr">
        <is>
          <t>facebook-ads-elFk</t>
        </is>
      </c>
      <c r="F101" s="5" t="inlineStr">
        <is>
          <t>1 Funcional — dado ativo</t>
        </is>
      </c>
      <c r="G101" s="5" t="n">
        <v>274</v>
      </c>
      <c r="H101" s="5" t="inlineStr">
        <is>
          <t>2026-10-20</t>
        </is>
      </c>
      <c r="I101" s="5" t="n">
        <v>126.69</v>
      </c>
      <c r="J101" s="5" t="n">
        <v>126.98</v>
      </c>
      <c r="K101" s="5" t="n">
        <v>-0.29</v>
      </c>
      <c r="L101" s="5" t="inlineStr">
        <is>
          <t>BRL</t>
        </is>
      </c>
      <c r="M101" s="5" t="inlineStr">
        <is>
          <t>gasto 13-19/10</t>
        </is>
      </c>
      <c r="N101" s="5" t="inlineStr"/>
      <c r="O101" s="5" t="inlineStr">
        <is>
          <t>Nekt (Jussara)</t>
        </is>
      </c>
      <c r="P101" s="5" t="inlineStr"/>
      <c r="Q101" s="5" t="inlineStr">
        <is>
          <t>E3 somar a Trusted de Facebook (apos 20/10)</t>
        </is>
      </c>
      <c r="R101" s="5" t="inlineStr">
        <is>
          <t>2026-10-21</t>
        </is>
      </c>
      <c r="S101" s="5" t="inlineStr"/>
    </row>
    <row r="102">
      <c r="A102" s="5" t="inlineStr">
        <is>
          <t>Meta Ads</t>
        </is>
      </c>
      <c r="B102" s="5" t="inlineStr">
        <is>
          <t>MILLENIUM</t>
        </is>
      </c>
      <c r="C102" s="5" t="inlineStr">
        <is>
          <t>1397293557166269</t>
        </is>
      </c>
      <c r="D102" s="5" t="inlineStr">
        <is>
          <t>Millennium Ads</t>
        </is>
      </c>
      <c r="E102" s="5" t="inlineStr">
        <is>
          <t>facebook-ads-hIaw</t>
        </is>
      </c>
      <c r="F102" s="5" t="inlineStr">
        <is>
          <t>1 Funcional — dado ativo</t>
        </is>
      </c>
      <c r="G102" s="5" t="n">
        <v>3559</v>
      </c>
      <c r="H102" s="5" t="inlineStr">
        <is>
          <t>2026-10-20</t>
        </is>
      </c>
      <c r="I102" s="5" t="n">
        <v>248.03</v>
      </c>
      <c r="J102" s="5" t="n">
        <v>248.07</v>
      </c>
      <c r="K102" s="5" t="n">
        <v>-0.04</v>
      </c>
      <c r="L102" s="5" t="inlineStr">
        <is>
          <t>BRL</t>
        </is>
      </c>
      <c r="M102" s="5" t="inlineStr">
        <is>
          <t>gasto 13-19/10</t>
        </is>
      </c>
      <c r="N102" s="5" t="inlineStr"/>
      <c r="O102" s="5" t="inlineStr">
        <is>
          <t>Nekt (Jussara)</t>
        </is>
      </c>
      <c r="P102" s="5" t="inlineStr"/>
      <c r="Q102" s="5" t="inlineStr">
        <is>
          <t>E3 somar a Trusted de Facebook (apos 20/10)</t>
        </is>
      </c>
      <c r="R102" s="5" t="inlineStr">
        <is>
          <t>2026-10-21</t>
        </is>
      </c>
      <c r="S102" s="5" t="inlineStr"/>
    </row>
    <row r="103">
      <c r="A103" s="5" t="inlineStr">
        <is>
          <t>Meta Ads</t>
        </is>
      </c>
      <c r="B103" s="5" t="inlineStr">
        <is>
          <t>MOVE RENTAL CARS</t>
        </is>
      </c>
      <c r="C103" s="5" t="inlineStr">
        <is>
          <t>541763807067071</t>
        </is>
      </c>
      <c r="D103" s="5" t="inlineStr">
        <is>
          <t>CA1 - Move Rental Cars</t>
        </is>
      </c>
      <c r="E103" s="5" t="inlineStr">
        <is>
          <t>facebook-ads-mtAO</t>
        </is>
      </c>
      <c r="F103" s="5" t="inlineStr">
        <is>
          <t>1 Funcional — dado ativo</t>
        </is>
      </c>
      <c r="G103" s="5" t="n">
        <v>7872</v>
      </c>
      <c r="H103" s="5" t="inlineStr">
        <is>
          <t>2026-10-20</t>
        </is>
      </c>
      <c r="I103" s="5" t="n">
        <v>570.41</v>
      </c>
      <c r="J103" s="5" t="n">
        <v>570.41</v>
      </c>
      <c r="K103" s="5" t="n">
        <v>0</v>
      </c>
      <c r="L103" s="5" t="inlineStr">
        <is>
          <t>USD</t>
        </is>
      </c>
      <c r="M103" s="5" t="inlineStr">
        <is>
          <t>gasto 13-19/10</t>
        </is>
      </c>
      <c r="N103" s="5" t="inlineStr"/>
      <c r="O103" s="5" t="inlineStr">
        <is>
          <t>Nekt (Jussara)</t>
        </is>
      </c>
      <c r="P103" s="5" t="inlineStr"/>
      <c r="Q103" s="5" t="inlineStr">
        <is>
          <t>E3 somar a Trusted de Facebook (apos 20/10)</t>
        </is>
      </c>
      <c r="R103" s="5" t="inlineStr">
        <is>
          <t>2026-10-21</t>
        </is>
      </c>
      <c r="S103" s="5" t="inlineStr"/>
    </row>
    <row r="104">
      <c r="A104" s="5" t="inlineStr">
        <is>
          <t>Meta Ads</t>
        </is>
      </c>
      <c r="B104" s="5" t="inlineStr">
        <is>
          <t>Neo Vila Adrianopolis Empreendimento Ads</t>
        </is>
      </c>
      <c r="C104" s="5" t="inlineStr">
        <is>
          <t>961762058045583</t>
        </is>
      </c>
      <c r="D104" s="5" t="inlineStr">
        <is>
          <t>Neo Vila Adrianopolis Empreendimento Ads</t>
        </is>
      </c>
      <c r="E104" s="5" t="inlineStr">
        <is>
          <t>facebook-ads-b8KQ</t>
        </is>
      </c>
      <c r="F104" s="5" t="inlineStr">
        <is>
          <t>1 Funcional — dado ativo</t>
        </is>
      </c>
      <c r="G104" s="5" t="n">
        <v>5957</v>
      </c>
      <c r="H104" s="5" t="inlineStr">
        <is>
          <t>2026-10-20</t>
        </is>
      </c>
      <c r="I104" s="5" t="n">
        <v>369.65</v>
      </c>
      <c r="J104" s="5" t="n">
        <v>369.73</v>
      </c>
      <c r="K104" s="5" t="n">
        <v>-0.08</v>
      </c>
      <c r="L104" s="5" t="inlineStr">
        <is>
          <t>BRL</t>
        </is>
      </c>
      <c r="M104" s="5" t="inlineStr">
        <is>
          <t>gasto 13-19/10</t>
        </is>
      </c>
      <c r="N104" s="5" t="inlineStr"/>
      <c r="O104" s="5" t="inlineStr">
        <is>
          <t>Nekt (Jussara)</t>
        </is>
      </c>
      <c r="P104" s="5" t="inlineStr"/>
      <c r="Q104" s="5" t="inlineStr">
        <is>
          <t>E3 somar a Trusted de Facebook (apos 20/10)</t>
        </is>
      </c>
      <c r="R104" s="5" t="inlineStr">
        <is>
          <t>2026-10-21</t>
        </is>
      </c>
      <c r="S104" s="5" t="inlineStr"/>
    </row>
    <row r="105">
      <c r="A105" s="5" t="inlineStr">
        <is>
          <t>Meta Ads</t>
        </is>
      </c>
      <c r="B105" s="5" t="inlineStr">
        <is>
          <t>PMZ ESCOLA DE MECÂNICOS</t>
        </is>
      </c>
      <c r="C105" s="5" t="inlineStr">
        <is>
          <t>479374257875979</t>
        </is>
      </c>
      <c r="D105" s="5" t="inlineStr">
        <is>
          <t>Escola para Mecânicos</t>
        </is>
      </c>
      <c r="E105" s="5" t="inlineStr">
        <is>
          <t>facebook-ads-oih2</t>
        </is>
      </c>
      <c r="F105" s="5" t="inlineStr">
        <is>
          <t>1 Funcional — dado ativo</t>
        </is>
      </c>
      <c r="G105" s="5" t="n">
        <v>7269</v>
      </c>
      <c r="H105" s="5" t="inlineStr">
        <is>
          <t>2026-10-20</t>
        </is>
      </c>
      <c r="I105" s="5" t="n">
        <v>685.91</v>
      </c>
      <c r="J105" s="5" t="n">
        <v>686.2</v>
      </c>
      <c r="K105" s="5" t="n">
        <v>-0.29</v>
      </c>
      <c r="L105" s="5" t="inlineStr">
        <is>
          <t>BRL</t>
        </is>
      </c>
      <c r="M105" s="5" t="inlineStr">
        <is>
          <t>gasto 13-19/10</t>
        </is>
      </c>
      <c r="N105" s="5" t="inlineStr"/>
      <c r="O105" s="5" t="inlineStr">
        <is>
          <t>Nekt (Jussara)</t>
        </is>
      </c>
      <c r="P105" s="5" t="inlineStr"/>
      <c r="Q105" s="5" t="inlineStr">
        <is>
          <t>E3 somar a Trusted de Facebook (apos 20/10)</t>
        </is>
      </c>
      <c r="R105" s="5" t="inlineStr">
        <is>
          <t>2026-10-21</t>
        </is>
      </c>
      <c r="S105" s="5" t="inlineStr"/>
    </row>
    <row r="106">
      <c r="A106" s="5" t="inlineStr">
        <is>
          <t>Meta Ads</t>
        </is>
      </c>
      <c r="B106" s="5" t="inlineStr">
        <is>
          <t>PMZ GRUPO ECOMM</t>
        </is>
      </c>
      <c r="C106" s="5" t="inlineStr">
        <is>
          <t>143457285456847</t>
        </is>
      </c>
      <c r="D106" s="5" t="inlineStr">
        <is>
          <t>PMZ GRUPO ECOMM</t>
        </is>
      </c>
      <c r="E106" s="5" t="inlineStr">
        <is>
          <t>facebook-ads-Vgli</t>
        </is>
      </c>
      <c r="F106" s="5" t="inlineStr">
        <is>
          <t>1 Funcional — dado ativo</t>
        </is>
      </c>
      <c r="G106" s="5" t="n">
        <v>3877</v>
      </c>
      <c r="H106" s="5" t="inlineStr">
        <is>
          <t>2026-10-20</t>
        </is>
      </c>
      <c r="I106" s="5" t="n">
        <v>7455.86</v>
      </c>
      <c r="J106" s="5" t="n">
        <v>7456.17</v>
      </c>
      <c r="K106" s="5" t="n">
        <v>-0.31</v>
      </c>
      <c r="L106" s="5" t="inlineStr">
        <is>
          <t>BRL</t>
        </is>
      </c>
      <c r="M106" s="5" t="inlineStr">
        <is>
          <t>gasto 13-19/10</t>
        </is>
      </c>
      <c r="N106" s="5" t="inlineStr"/>
      <c r="O106" s="5" t="inlineStr">
        <is>
          <t>Nekt (Jussara)</t>
        </is>
      </c>
      <c r="P106" s="5" t="inlineStr"/>
      <c r="Q106" s="5" t="inlineStr">
        <is>
          <t>E3 somar a Trusted de Facebook (apos 20/10)</t>
        </is>
      </c>
      <c r="R106" s="5" t="inlineStr">
        <is>
          <t>2026-10-21</t>
        </is>
      </c>
      <c r="S106" s="5" t="inlineStr"/>
    </row>
    <row r="107">
      <c r="A107" s="5" t="inlineStr">
        <is>
          <t>Meta Ads</t>
        </is>
      </c>
      <c r="B107" s="5" t="inlineStr">
        <is>
          <t>PMZ GRUPO LOJA</t>
        </is>
      </c>
      <c r="C107" s="5" t="inlineStr">
        <is>
          <t>839811160322414</t>
        </is>
      </c>
      <c r="D107" s="5" t="inlineStr">
        <is>
          <t>PMZ GRUPO LOJA</t>
        </is>
      </c>
      <c r="E107" s="5" t="inlineStr">
        <is>
          <t>facebook-ads-x4yO</t>
        </is>
      </c>
      <c r="F107" s="5" t="inlineStr">
        <is>
          <t>1 Funcional — dado ativo</t>
        </is>
      </c>
      <c r="G107" s="5" t="n">
        <v>14740</v>
      </c>
      <c r="H107" s="5" t="inlineStr">
        <is>
          <t>2026-10-20</t>
        </is>
      </c>
      <c r="I107" s="5" t="n">
        <v>4996.29</v>
      </c>
      <c r="J107" s="5" t="n">
        <v>4996.93</v>
      </c>
      <c r="K107" s="5" t="n">
        <v>-0.64</v>
      </c>
      <c r="L107" s="5" t="inlineStr">
        <is>
          <t>BRL</t>
        </is>
      </c>
      <c r="M107" s="5" t="inlineStr">
        <is>
          <t>gasto 13-19/10</t>
        </is>
      </c>
      <c r="N107" s="5" t="inlineStr"/>
      <c r="O107" s="5" t="inlineStr">
        <is>
          <t>—</t>
        </is>
      </c>
      <c r="P107" s="5" t="inlineStr"/>
      <c r="Q107" s="5" t="inlineStr">
        <is>
          <t>ja na Trusted</t>
        </is>
      </c>
      <c r="R107" s="5" t="inlineStr"/>
      <c r="S107" s="5" t="inlineStr"/>
    </row>
    <row r="108">
      <c r="A108" s="5" t="inlineStr">
        <is>
          <t>Meta Ads</t>
        </is>
      </c>
      <c r="B108" s="5" t="inlineStr">
        <is>
          <t>PNEU EXPRESS</t>
        </is>
      </c>
      <c r="C108" s="5" t="inlineStr">
        <is>
          <t>3540348596114929</t>
        </is>
      </c>
      <c r="D108" s="5" t="inlineStr">
        <is>
          <t>Pneu Express</t>
        </is>
      </c>
      <c r="E108" s="5" t="inlineStr">
        <is>
          <t>facebook-ads-2vvw</t>
        </is>
      </c>
      <c r="F108" s="5" t="inlineStr">
        <is>
          <t>1 Funcional — dado ativo</t>
        </is>
      </c>
      <c r="G108" s="5" t="n">
        <v>586</v>
      </c>
      <c r="H108" s="5" t="inlineStr">
        <is>
          <t>2026-10-20</t>
        </is>
      </c>
      <c r="I108" s="5" t="n">
        <v>508.77</v>
      </c>
      <c r="J108" s="5" t="n">
        <v>508.78</v>
      </c>
      <c r="K108" s="5" t="n">
        <v>-0.01</v>
      </c>
      <c r="L108" s="5" t="inlineStr">
        <is>
          <t>BRL</t>
        </is>
      </c>
      <c r="M108" s="5" t="inlineStr">
        <is>
          <t>gasto 13-19/10</t>
        </is>
      </c>
      <c r="N108" s="5" t="inlineStr"/>
      <c r="O108" s="5" t="inlineStr">
        <is>
          <t>Nekt (Jussara)</t>
        </is>
      </c>
      <c r="P108" s="5" t="inlineStr"/>
      <c r="Q108" s="5" t="inlineStr">
        <is>
          <t>E3 somar a Trusted de Facebook (apos 20/10)</t>
        </is>
      </c>
      <c r="R108" s="5" t="inlineStr">
        <is>
          <t>2026-10-21</t>
        </is>
      </c>
      <c r="S108" s="5" t="inlineStr"/>
    </row>
    <row r="109">
      <c r="A109" s="5" t="inlineStr">
        <is>
          <t>Meta Ads</t>
        </is>
      </c>
      <c r="B109" s="5" t="inlineStr">
        <is>
          <t>PNEU FORTE DISTRIBUIDORA</t>
        </is>
      </c>
      <c r="C109" s="5" t="inlineStr">
        <is>
          <t>1725052584888400</t>
        </is>
      </c>
      <c r="D109" s="5" t="inlineStr">
        <is>
          <t>Pneu Forte | Distribuidora</t>
        </is>
      </c>
      <c r="E109" s="5" t="inlineStr">
        <is>
          <t>facebook-ads-s8I1</t>
        </is>
      </c>
      <c r="F109" s="5" t="inlineStr">
        <is>
          <t>1 Funcional — dado ativo</t>
        </is>
      </c>
      <c r="G109" s="5" t="n">
        <v>2137</v>
      </c>
      <c r="H109" s="5" t="inlineStr">
        <is>
          <t>2026-10-20</t>
        </is>
      </c>
      <c r="I109" s="5" t="n">
        <v>536.67</v>
      </c>
      <c r="J109" s="5" t="n">
        <v>536.67</v>
      </c>
      <c r="K109" s="5" t="n">
        <v>0</v>
      </c>
      <c r="L109" s="5" t="inlineStr">
        <is>
          <t>BRL</t>
        </is>
      </c>
      <c r="M109" s="5" t="inlineStr">
        <is>
          <t>gasto 13-19/10</t>
        </is>
      </c>
      <c r="N109" s="5" t="inlineStr"/>
      <c r="O109" s="5" t="inlineStr">
        <is>
          <t>Nekt (Jussara)</t>
        </is>
      </c>
      <c r="P109" s="5" t="inlineStr"/>
      <c r="Q109" s="5" t="inlineStr">
        <is>
          <t>E3 somar a Trusted de Facebook (apos 20/10)</t>
        </is>
      </c>
      <c r="R109" s="5" t="inlineStr">
        <is>
          <t>2026-10-21</t>
        </is>
      </c>
      <c r="S109" s="5" t="inlineStr"/>
    </row>
    <row r="110">
      <c r="A110" s="5" t="inlineStr">
        <is>
          <t>Meta Ads</t>
        </is>
      </c>
      <c r="B110" s="5" t="inlineStr">
        <is>
          <t>PNEU FORTE VAREJO</t>
        </is>
      </c>
      <c r="C110" s="5" t="inlineStr">
        <is>
          <t>1813722919392589</t>
        </is>
      </c>
      <c r="D110" s="5" t="inlineStr">
        <is>
          <t>Pneu Forte | Varejo</t>
        </is>
      </c>
      <c r="E110" s="5" t="inlineStr">
        <is>
          <t>facebook-ads-phtv</t>
        </is>
      </c>
      <c r="F110" s="5" t="inlineStr">
        <is>
          <t>1 Funcional — dado ativo</t>
        </is>
      </c>
      <c r="G110" s="5" t="n">
        <v>3062</v>
      </c>
      <c r="H110" s="5" t="inlineStr">
        <is>
          <t>2026-10-20</t>
        </is>
      </c>
      <c r="I110" s="5" t="n">
        <v>194.29</v>
      </c>
      <c r="J110" s="5" t="n">
        <v>194.31</v>
      </c>
      <c r="K110" s="5" t="n">
        <v>-0.02</v>
      </c>
      <c r="L110" s="5" t="inlineStr">
        <is>
          <t>BRL</t>
        </is>
      </c>
      <c r="M110" s="5" t="inlineStr">
        <is>
          <t>gasto 13-19/10</t>
        </is>
      </c>
      <c r="N110" s="5" t="inlineStr"/>
      <c r="O110" s="5" t="inlineStr">
        <is>
          <t>Nekt (Jussara)</t>
        </is>
      </c>
      <c r="P110" s="5" t="inlineStr"/>
      <c r="Q110" s="5" t="inlineStr">
        <is>
          <t>E3 somar a Trusted de Facebook (apos 20/10)</t>
        </is>
      </c>
      <c r="R110" s="5" t="inlineStr">
        <is>
          <t>2026-10-21</t>
        </is>
      </c>
      <c r="S110" s="5" t="inlineStr"/>
    </row>
    <row r="111">
      <c r="A111" s="5" t="inlineStr">
        <is>
          <t>Meta Ads</t>
        </is>
      </c>
      <c r="B111" s="5" t="inlineStr">
        <is>
          <t xml:space="preserve">Parque das Torres Ads </t>
        </is>
      </c>
      <c r="C111" s="5" t="inlineStr">
        <is>
          <t>1284883625966129</t>
        </is>
      </c>
      <c r="D111" s="5" t="inlineStr">
        <is>
          <t xml:space="preserve">Parque das Torres Ads </t>
        </is>
      </c>
      <c r="E111" s="5" t="inlineStr">
        <is>
          <t>facebook-ads-jZBq</t>
        </is>
      </c>
      <c r="F111" s="5" t="inlineStr">
        <is>
          <t>1 Funcional — dado ativo</t>
        </is>
      </c>
      <c r="G111" s="5" t="n">
        <v>9582</v>
      </c>
      <c r="H111" s="5" t="inlineStr">
        <is>
          <t>2026-10-20</t>
        </is>
      </c>
      <c r="I111" s="5" t="n">
        <v>690.14</v>
      </c>
      <c r="J111" s="5" t="n">
        <v>690.14</v>
      </c>
      <c r="K111" s="5" t="n">
        <v>0</v>
      </c>
      <c r="L111" s="5" t="inlineStr">
        <is>
          <t>BRL</t>
        </is>
      </c>
      <c r="M111" s="5" t="inlineStr">
        <is>
          <t>gasto 13-19/10</t>
        </is>
      </c>
      <c r="N111" s="5" t="inlineStr"/>
      <c r="O111" s="5" t="inlineStr">
        <is>
          <t>Nekt (Jussara)</t>
        </is>
      </c>
      <c r="P111" s="5" t="inlineStr"/>
      <c r="Q111" s="5" t="inlineStr">
        <is>
          <t>E3 somar a Trusted de Facebook (apos 20/10)</t>
        </is>
      </c>
      <c r="R111" s="5" t="inlineStr">
        <is>
          <t>2026-10-21</t>
        </is>
      </c>
      <c r="S111" s="5" t="inlineStr"/>
    </row>
    <row r="112">
      <c r="A112" s="5" t="inlineStr">
        <is>
          <t>Meta Ads</t>
        </is>
      </c>
      <c r="B112" s="5" t="inlineStr">
        <is>
          <t>REI DAS MANGUEIRAS</t>
        </is>
      </c>
      <c r="C112" s="5" t="inlineStr">
        <is>
          <t>237569707262055</t>
        </is>
      </c>
      <c r="D112" s="5" t="inlineStr">
        <is>
          <t>Rei das Mangueiras</t>
        </is>
      </c>
      <c r="E112" s="5" t="inlineStr">
        <is>
          <t>facebook-ads-p8vg</t>
        </is>
      </c>
      <c r="F112" s="5" t="inlineStr">
        <is>
          <t>1 Funcional — dado ativo</t>
        </is>
      </c>
      <c r="G112" s="5" t="n">
        <v>2460</v>
      </c>
      <c r="H112" s="5" t="inlineStr">
        <is>
          <t>2026-10-20</t>
        </is>
      </c>
      <c r="I112" s="5" t="n">
        <v>375.58</v>
      </c>
      <c r="J112" s="5" t="n">
        <v>375.61</v>
      </c>
      <c r="K112" s="5" t="n">
        <v>-0.03</v>
      </c>
      <c r="L112" s="5" t="inlineStr">
        <is>
          <t>BRL</t>
        </is>
      </c>
      <c r="M112" s="5" t="inlineStr">
        <is>
          <t>gasto 13-19/10</t>
        </is>
      </c>
      <c r="N112" s="5" t="inlineStr"/>
      <c r="O112" s="5" t="inlineStr">
        <is>
          <t>Nekt (Jussara)</t>
        </is>
      </c>
      <c r="P112" s="5" t="inlineStr"/>
      <c r="Q112" s="5" t="inlineStr">
        <is>
          <t>E3 somar a Trusted de Facebook (apos 20/10)</t>
        </is>
      </c>
      <c r="R112" s="5" t="inlineStr">
        <is>
          <t>2026-10-21</t>
        </is>
      </c>
      <c r="S112" s="5" t="inlineStr"/>
    </row>
    <row r="113">
      <c r="A113" s="5" t="inlineStr">
        <is>
          <t>Meta Ads</t>
        </is>
      </c>
      <c r="B113" s="5" t="inlineStr">
        <is>
          <t>RODRIX</t>
        </is>
      </c>
      <c r="C113" s="5" t="inlineStr">
        <is>
          <t>662144331563252</t>
        </is>
      </c>
      <c r="D113" s="5" t="inlineStr">
        <is>
          <t>RODRIX MOTOS</t>
        </is>
      </c>
      <c r="E113" s="5" t="inlineStr">
        <is>
          <t>facebook-ads-d1nc</t>
        </is>
      </c>
      <c r="F113" s="5" t="inlineStr">
        <is>
          <t>1 Funcional — dado ativo</t>
        </is>
      </c>
      <c r="G113" s="5" t="n">
        <v>951</v>
      </c>
      <c r="H113" s="5" t="inlineStr">
        <is>
          <t>2026-10-20</t>
        </is>
      </c>
      <c r="I113" s="5" t="n">
        <v>2834.16</v>
      </c>
      <c r="J113" s="5" t="n">
        <v>2834.51</v>
      </c>
      <c r="K113" s="5" t="n">
        <v>-0.35</v>
      </c>
      <c r="L113" s="5" t="inlineStr">
        <is>
          <t>BRL</t>
        </is>
      </c>
      <c r="M113" s="5" t="inlineStr">
        <is>
          <t>gasto 13-19/10</t>
        </is>
      </c>
      <c r="N113" s="5" t="inlineStr"/>
      <c r="O113" s="5" t="inlineStr">
        <is>
          <t>Nekt (Jussara)</t>
        </is>
      </c>
      <c r="P113" s="5" t="inlineStr"/>
      <c r="Q113" s="5" t="inlineStr">
        <is>
          <t>E3 somar a Trusted de Facebook (apos 20/10)</t>
        </is>
      </c>
      <c r="R113" s="5" t="inlineStr">
        <is>
          <t>2026-10-21</t>
        </is>
      </c>
      <c r="S113" s="5" t="inlineStr"/>
    </row>
    <row r="114">
      <c r="A114" s="5" t="inlineStr">
        <is>
          <t>Meta Ads</t>
        </is>
      </c>
      <c r="B114" s="5" t="inlineStr">
        <is>
          <t>Residencial Boa Vista Ads</t>
        </is>
      </c>
      <c r="C114" s="5" t="inlineStr">
        <is>
          <t>564917637883768</t>
        </is>
      </c>
      <c r="D114" s="5" t="inlineStr">
        <is>
          <t>Residencial Boa Vista Ads</t>
        </is>
      </c>
      <c r="E114" s="5" t="inlineStr">
        <is>
          <t>facebook-ads-aiXX</t>
        </is>
      </c>
      <c r="F114" s="5" t="inlineStr">
        <is>
          <t>1 Funcional — dado ativo</t>
        </is>
      </c>
      <c r="G114" s="5" t="n">
        <v>4153</v>
      </c>
      <c r="H114" s="5" t="inlineStr">
        <is>
          <t>2026-10-20</t>
        </is>
      </c>
      <c r="I114" s="5" t="n">
        <v>261.85</v>
      </c>
      <c r="J114" s="5" t="n">
        <v>261.85</v>
      </c>
      <c r="K114" s="5" t="n">
        <v>0</v>
      </c>
      <c r="L114" s="5" t="inlineStr">
        <is>
          <t>BRL</t>
        </is>
      </c>
      <c r="M114" s="5" t="inlineStr">
        <is>
          <t>gasto 13-19/10</t>
        </is>
      </c>
      <c r="N114" s="5" t="inlineStr"/>
      <c r="O114" s="5" t="inlineStr">
        <is>
          <t>Nekt (Jussara)</t>
        </is>
      </c>
      <c r="P114" s="5" t="inlineStr"/>
      <c r="Q114" s="5" t="inlineStr">
        <is>
          <t>E3 somar a Trusted de Facebook (apos 20/10)</t>
        </is>
      </c>
      <c r="R114" s="5" t="inlineStr">
        <is>
          <t>2026-10-21</t>
        </is>
      </c>
      <c r="S114" s="5" t="inlineStr"/>
    </row>
    <row r="115">
      <c r="A115" s="5" t="inlineStr">
        <is>
          <t>Meta Ads</t>
        </is>
      </c>
      <c r="B115" s="5" t="inlineStr">
        <is>
          <t>SMILE PNEUS</t>
        </is>
      </c>
      <c r="C115" s="5" t="inlineStr">
        <is>
          <t>677441165029092</t>
        </is>
      </c>
      <c r="D115" s="5" t="inlineStr">
        <is>
          <t>Smile Pneus</t>
        </is>
      </c>
      <c r="E115" s="5" t="inlineStr">
        <is>
          <t>facebook-ads-4Q1U</t>
        </is>
      </c>
      <c r="F115" s="5" t="inlineStr">
        <is>
          <t>1 Funcional — dado ativo</t>
        </is>
      </c>
      <c r="G115" s="5" t="n">
        <v>681</v>
      </c>
      <c r="H115" s="5" t="inlineStr">
        <is>
          <t>2026-10-20</t>
        </is>
      </c>
      <c r="I115" s="5" t="n">
        <v>539.84</v>
      </c>
      <c r="J115" s="5" t="n">
        <v>539.9299999999999</v>
      </c>
      <c r="K115" s="5" t="n">
        <v>-0.09</v>
      </c>
      <c r="L115" s="5" t="inlineStr">
        <is>
          <t>BRL</t>
        </is>
      </c>
      <c r="M115" s="5" t="inlineStr">
        <is>
          <t>gasto 13-19/10</t>
        </is>
      </c>
      <c r="N115" s="5" t="inlineStr"/>
      <c r="O115" s="5" t="inlineStr">
        <is>
          <t>Nekt (Jussara)</t>
        </is>
      </c>
      <c r="P115" s="5" t="inlineStr"/>
      <c r="Q115" s="5" t="inlineStr">
        <is>
          <t>E3 somar a Trusted de Facebook (apos 20/10)</t>
        </is>
      </c>
      <c r="R115" s="5" t="inlineStr">
        <is>
          <t>2026-10-21</t>
        </is>
      </c>
      <c r="S115" s="5" t="inlineStr"/>
    </row>
    <row r="116">
      <c r="A116" s="5" t="inlineStr">
        <is>
          <t>Meta Ads</t>
        </is>
      </c>
      <c r="B116" s="5" t="inlineStr">
        <is>
          <t>STEEL PORT</t>
        </is>
      </c>
      <c r="C116" s="5" t="inlineStr">
        <is>
          <t>4405131369708792</t>
        </is>
      </c>
      <c r="D116" s="5" t="inlineStr">
        <is>
          <t>Steel Port</t>
        </is>
      </c>
      <c r="E116" s="5" t="inlineStr">
        <is>
          <t>facebook-ads-yFhV</t>
        </is>
      </c>
      <c r="F116" s="5" t="inlineStr">
        <is>
          <t>1 Funcional — dado ativo</t>
        </is>
      </c>
      <c r="G116" s="5" t="n">
        <v>1761</v>
      </c>
      <c r="H116" s="5" t="inlineStr">
        <is>
          <t>2026-10-20</t>
        </is>
      </c>
      <c r="I116" s="5" t="n">
        <v>752.84</v>
      </c>
      <c r="J116" s="5" t="n">
        <v>753.29</v>
      </c>
      <c r="K116" s="5" t="n">
        <v>-0.45</v>
      </c>
      <c r="L116" s="5" t="inlineStr">
        <is>
          <t>BRL</t>
        </is>
      </c>
      <c r="M116" s="5" t="inlineStr">
        <is>
          <t>gasto 13-19/10</t>
        </is>
      </c>
      <c r="N116" s="5" t="inlineStr"/>
      <c r="O116" s="5" t="inlineStr">
        <is>
          <t>Nekt (Jussara)</t>
        </is>
      </c>
      <c r="P116" s="5" t="inlineStr"/>
      <c r="Q116" s="5" t="inlineStr">
        <is>
          <t>E3 somar a Trusted de Facebook (apos 20/10)</t>
        </is>
      </c>
      <c r="R116" s="5" t="inlineStr">
        <is>
          <t>2026-10-21</t>
        </is>
      </c>
      <c r="S116" s="5" t="inlineStr"/>
    </row>
    <row r="117">
      <c r="A117" s="5" t="inlineStr">
        <is>
          <t>Meta Ads</t>
        </is>
      </c>
      <c r="B117" s="5" t="inlineStr">
        <is>
          <t>THEREZINHA</t>
        </is>
      </c>
      <c r="C117" s="5" t="inlineStr">
        <is>
          <t>2515845012216186</t>
        </is>
      </c>
      <c r="D117" s="5" t="inlineStr">
        <is>
          <t>THEREZINHA RUIZ - ELEIÇÃO 2026</t>
        </is>
      </c>
      <c r="E117" s="5" t="inlineStr">
        <is>
          <t>facebook-ads-0rrE</t>
        </is>
      </c>
      <c r="F117" s="5" t="inlineStr">
        <is>
          <t>1 Funcional — dado ativo</t>
        </is>
      </c>
      <c r="G117" s="5" t="n">
        <v>4271</v>
      </c>
      <c r="H117" s="5" t="inlineStr">
        <is>
          <t>2026-10-08</t>
        </is>
      </c>
      <c r="I117" s="5" t="n">
        <v>0</v>
      </c>
      <c r="J117" s="5" t="n">
        <v>0</v>
      </c>
      <c r="K117" s="5" t="n">
        <v>0</v>
      </c>
      <c r="L117" s="5" t="inlineStr">
        <is>
          <t>BRL</t>
        </is>
      </c>
      <c r="M117" s="5" t="inlineStr">
        <is>
          <t>gasto 13-19/10</t>
        </is>
      </c>
      <c r="N117" s="5" t="inlineStr"/>
      <c r="O117" s="5" t="inlineStr">
        <is>
          <t>Nekt (Jussara)</t>
        </is>
      </c>
      <c r="P117" s="5" t="inlineStr"/>
      <c r="Q117" s="5" t="inlineStr">
        <is>
          <t>E3 somar a Trusted de Facebook (apos 20/10)</t>
        </is>
      </c>
      <c r="R117" s="5" t="inlineStr">
        <is>
          <t>2026-10-21</t>
        </is>
      </c>
      <c r="S117" s="5" t="inlineStr"/>
    </row>
    <row r="118">
      <c r="A118" s="5" t="inlineStr">
        <is>
          <t>Meta Ads</t>
        </is>
      </c>
      <c r="B118" s="5" t="inlineStr">
        <is>
          <t>Tropical Multiloja - Ativo</t>
        </is>
      </c>
      <c r="C118" s="5" t="inlineStr">
        <is>
          <t>344479402907345</t>
        </is>
      </c>
      <c r="D118" s="5" t="inlineStr">
        <is>
          <t>Tropical Multiloja - Ativo</t>
        </is>
      </c>
      <c r="E118" s="5" t="inlineStr">
        <is>
          <t>facebook-ads-3vys</t>
        </is>
      </c>
      <c r="F118" s="5" t="inlineStr">
        <is>
          <t>1 Funcional — dado ativo</t>
        </is>
      </c>
      <c r="G118" s="5" t="n">
        <v>3183</v>
      </c>
      <c r="H118" s="5" t="inlineStr">
        <is>
          <t>2026-10-20</t>
        </is>
      </c>
      <c r="I118" s="5" t="n">
        <v>378.53</v>
      </c>
      <c r="J118" s="5" t="n">
        <v>378.57</v>
      </c>
      <c r="K118" s="5" t="n">
        <v>-0.04</v>
      </c>
      <c r="L118" s="5" t="inlineStr">
        <is>
          <t>BRL</t>
        </is>
      </c>
      <c r="M118" s="5" t="inlineStr">
        <is>
          <t>gasto 13-19/10</t>
        </is>
      </c>
      <c r="N118" s="5" t="inlineStr"/>
      <c r="O118" s="5" t="inlineStr">
        <is>
          <t>Nekt (Jussara)</t>
        </is>
      </c>
      <c r="P118" s="5" t="inlineStr"/>
      <c r="Q118" s="5" t="inlineStr">
        <is>
          <t>E3 somar a Trusted de Facebook (apos 20/10)</t>
        </is>
      </c>
      <c r="R118" s="5" t="inlineStr">
        <is>
          <t>2026-10-21</t>
        </is>
      </c>
      <c r="S118" s="5" t="inlineStr"/>
    </row>
    <row r="119">
      <c r="A119" s="5" t="inlineStr">
        <is>
          <t>Meta Ads</t>
        </is>
      </c>
      <c r="B119" s="5" t="inlineStr">
        <is>
          <t>VEGA Bajaj Manaus (AM) - Anúncios</t>
        </is>
      </c>
      <c r="C119" s="5" t="inlineStr">
        <is>
          <t>1322682162728929</t>
        </is>
      </c>
      <c r="D119" s="5" t="inlineStr">
        <is>
          <t>VEGA Bajaj Manaus (AM) - Anúncios</t>
        </is>
      </c>
      <c r="E119" s="5" t="inlineStr">
        <is>
          <t>facebook-ads-7NkZ</t>
        </is>
      </c>
      <c r="F119" s="5" t="inlineStr">
        <is>
          <t>1 Funcional — dado ativo</t>
        </is>
      </c>
      <c r="G119" s="5" t="n">
        <v>1989</v>
      </c>
      <c r="H119" s="5" t="inlineStr">
        <is>
          <t>2026-10-20</t>
        </is>
      </c>
      <c r="I119" s="5" t="n">
        <v>1909.7</v>
      </c>
      <c r="J119" s="5" t="n">
        <v>1909.82</v>
      </c>
      <c r="K119" s="5" t="n">
        <v>-0.12</v>
      </c>
      <c r="L119" s="5" t="inlineStr">
        <is>
          <t>BRL</t>
        </is>
      </c>
      <c r="M119" s="5" t="inlineStr">
        <is>
          <t>gasto 13-19/10</t>
        </is>
      </c>
      <c r="N119" s="5" t="inlineStr"/>
      <c r="O119" s="5" t="inlineStr">
        <is>
          <t>Nekt (Jussara)</t>
        </is>
      </c>
      <c r="P119" s="5" t="inlineStr"/>
      <c r="Q119" s="5" t="inlineStr">
        <is>
          <t>E3 somar a Trusted de Facebook (apos 20/10)</t>
        </is>
      </c>
      <c r="R119" s="5" t="inlineStr">
        <is>
          <t>2026-10-21</t>
        </is>
      </c>
      <c r="S119" s="5" t="inlineStr"/>
    </row>
    <row r="120">
      <c r="A120" s="5" t="inlineStr">
        <is>
          <t>Meta Ads</t>
        </is>
      </c>
      <c r="B120" s="5" t="inlineStr">
        <is>
          <t>VOIKÉ</t>
        </is>
      </c>
      <c r="C120" s="5" t="inlineStr">
        <is>
          <t>895774876249896</t>
        </is>
      </c>
      <c r="D120" s="5" t="inlineStr">
        <is>
          <t>Voiké - ADS</t>
        </is>
      </c>
      <c r="E120" s="5" t="inlineStr">
        <is>
          <t>facebook-ads-I8ld</t>
        </is>
      </c>
      <c r="F120" s="5" t="inlineStr">
        <is>
          <t>1 Funcional — dado ativo</t>
        </is>
      </c>
      <c r="G120" s="5" t="n">
        <v>1146</v>
      </c>
      <c r="H120" s="5" t="inlineStr">
        <is>
          <t>2026-10-20</t>
        </is>
      </c>
      <c r="I120" s="5" t="n">
        <v>178.8</v>
      </c>
      <c r="J120" s="5" t="n">
        <v>178.81</v>
      </c>
      <c r="K120" s="5" t="n">
        <v>-0.01</v>
      </c>
      <c r="L120" s="5" t="inlineStr">
        <is>
          <t>BRL</t>
        </is>
      </c>
      <c r="M120" s="5" t="inlineStr">
        <is>
          <t>gasto 13-19/10</t>
        </is>
      </c>
      <c r="N120" s="5" t="inlineStr"/>
      <c r="O120" s="5" t="inlineStr">
        <is>
          <t>Nekt (Jussara)</t>
        </is>
      </c>
      <c r="P120" s="5" t="inlineStr"/>
      <c r="Q120" s="5" t="inlineStr">
        <is>
          <t>E3 somar a Trusted de Facebook (apos 20/10)</t>
        </is>
      </c>
      <c r="R120" s="5" t="inlineStr">
        <is>
          <t>2026-10-21</t>
        </is>
      </c>
      <c r="S120" s="5" t="inlineStr"/>
    </row>
    <row r="121">
      <c r="A121" s="5" t="inlineStr">
        <is>
          <t>Meta Ads</t>
        </is>
      </c>
      <c r="B121" s="5" t="inlineStr">
        <is>
          <t>Vanguarda Comunicação</t>
        </is>
      </c>
      <c r="C121" s="5" t="inlineStr">
        <is>
          <t>118981485594379</t>
        </is>
      </c>
      <c r="D121" s="5" t="inlineStr">
        <is>
          <t>Vanguarda Comunicação</t>
        </is>
      </c>
      <c r="E121" s="5" t="inlineStr">
        <is>
          <t>facebook-ads-AJ09</t>
        </is>
      </c>
      <c r="F121" s="5" t="inlineStr">
        <is>
          <t>1 Funcional — dado ativo</t>
        </is>
      </c>
      <c r="G121" s="5" t="n">
        <v>1570</v>
      </c>
      <c r="H121" s="5" t="inlineStr">
        <is>
          <t>2026-10-20</t>
        </is>
      </c>
      <c r="I121" s="5" t="n">
        <v>1292.71</v>
      </c>
      <c r="J121" s="5" t="n">
        <v>1292.71</v>
      </c>
      <c r="K121" s="5" t="n">
        <v>0</v>
      </c>
      <c r="L121" s="5" t="inlineStr">
        <is>
          <t>BRL</t>
        </is>
      </c>
      <c r="M121" s="5" t="inlineStr">
        <is>
          <t>gasto 13-19/10</t>
        </is>
      </c>
      <c r="N121" s="5" t="inlineStr"/>
      <c r="O121" s="5" t="inlineStr">
        <is>
          <t>Nekt (Jussara)</t>
        </is>
      </c>
      <c r="P121" s="5" t="inlineStr"/>
      <c r="Q121" s="5" t="inlineStr">
        <is>
          <t>E3 somar a Trusted de Facebook (apos 20/10)</t>
        </is>
      </c>
      <c r="R121" s="5" t="inlineStr">
        <is>
          <t>2026-10-21</t>
        </is>
      </c>
      <c r="S121" s="5" t="inlineStr"/>
    </row>
    <row r="122">
      <c r="A122" s="5" t="inlineStr">
        <is>
          <t>Meta Ads</t>
        </is>
      </c>
      <c r="B122" s="5" t="inlineStr">
        <is>
          <t xml:space="preserve">Vbot </t>
        </is>
      </c>
      <c r="C122" s="5" t="inlineStr">
        <is>
          <t>1238815311536448</t>
        </is>
      </c>
      <c r="D122" s="5" t="inlineStr">
        <is>
          <t xml:space="preserve">Vbot </t>
        </is>
      </c>
      <c r="E122" s="5" t="inlineStr">
        <is>
          <t>facebook-ads-KBUT</t>
        </is>
      </c>
      <c r="F122" s="5" t="inlineStr">
        <is>
          <t>1 Funcional — dado ativo</t>
        </is>
      </c>
      <c r="G122" s="5" t="n">
        <v>1364</v>
      </c>
      <c r="H122" s="5" t="inlineStr">
        <is>
          <t>2026-10-12</t>
        </is>
      </c>
      <c r="I122" s="5" t="n">
        <v>0</v>
      </c>
      <c r="J122" s="5" t="n">
        <v>0</v>
      </c>
      <c r="K122" s="5" t="n">
        <v>0</v>
      </c>
      <c r="L122" s="5" t="inlineStr">
        <is>
          <t>BRL</t>
        </is>
      </c>
      <c r="M122" s="5" t="inlineStr">
        <is>
          <t>gasto 13-19/10</t>
        </is>
      </c>
      <c r="N122" s="5" t="inlineStr"/>
      <c r="O122" s="5" t="inlineStr">
        <is>
          <t>Nekt (Jussara)</t>
        </is>
      </c>
      <c r="P122" s="5" t="inlineStr"/>
      <c r="Q122" s="5" t="inlineStr">
        <is>
          <t>E3 somar a Trusted de Facebook (apos 20/10)</t>
        </is>
      </c>
      <c r="R122" s="5" t="inlineStr">
        <is>
          <t>2026-10-21</t>
        </is>
      </c>
      <c r="S122" s="5" t="inlineStr"/>
    </row>
    <row r="123">
      <c r="A123" s="5" t="inlineStr">
        <is>
          <t>Meta Ads</t>
        </is>
      </c>
      <c r="B123" s="5" t="inlineStr">
        <is>
          <t>ACESSO SAÚDE</t>
        </is>
      </c>
      <c r="C123" s="5" t="inlineStr">
        <is>
          <t>896593304615891</t>
        </is>
      </c>
      <c r="D123" s="5" t="inlineStr">
        <is>
          <t>Acesso Saúde Manoa</t>
        </is>
      </c>
      <c r="E123" s="5" t="inlineStr">
        <is>
          <t>facebook-ads-rCHw</t>
        </is>
      </c>
      <c r="F123" s="5" t="inlineStr">
        <is>
          <t>2 Funcional — conta parada (leitura confirmada)</t>
        </is>
      </c>
      <c r="G123" s="5" t="n">
        <v>5</v>
      </c>
      <c r="H123" s="5" t="inlineStr">
        <is>
          <t>2025-09-16</t>
        </is>
      </c>
      <c r="I123" s="5" t="n">
        <v>0</v>
      </c>
      <c r="J123" s="5" t="n">
        <v>0</v>
      </c>
      <c r="K123" s="5" t="n">
        <v>0</v>
      </c>
      <c r="L123" s="5" t="inlineStr">
        <is>
          <t>BRL</t>
        </is>
      </c>
      <c r="M123" s="5" t="inlineStr">
        <is>
          <t>gasto 13-19/10</t>
        </is>
      </c>
      <c r="N123" s="5" t="inlineStr"/>
      <c r="O123" s="5" t="inlineStr">
        <is>
          <t>Nekt (Jussara)</t>
        </is>
      </c>
      <c r="P123" s="5" t="inlineStr"/>
      <c r="Q123" s="5" t="inlineStr">
        <is>
          <t>E3 somar a Trusted de Facebook (apos 20/10)</t>
        </is>
      </c>
      <c r="R123" s="5" t="inlineStr">
        <is>
          <t>2026-10-21</t>
        </is>
      </c>
      <c r="S123" s="5" t="inlineStr"/>
    </row>
    <row r="124">
      <c r="A124" s="5" t="inlineStr">
        <is>
          <t>Meta Ads</t>
        </is>
      </c>
      <c r="B124" s="5" t="inlineStr">
        <is>
          <t>ACESSO SAÚDE</t>
        </is>
      </c>
      <c r="C124" s="5" t="inlineStr">
        <is>
          <t>157551716528324</t>
        </is>
      </c>
      <c r="D124" s="5" t="inlineStr">
        <is>
          <t>Acesso Saúde manôa</t>
        </is>
      </c>
      <c r="E124" s="5" t="inlineStr">
        <is>
          <t>facebook-ads-WOOU</t>
        </is>
      </c>
      <c r="F124" s="5" t="inlineStr">
        <is>
          <t>2 Funcional — conta parada (leitura confirmada)</t>
        </is>
      </c>
      <c r="G124" s="5" t="n">
        <v>0</v>
      </c>
      <c r="H124" s="5" t="inlineStr"/>
      <c r="I124" s="5" t="n">
        <v>0</v>
      </c>
      <c r="J124" s="5" t="n">
        <v>0</v>
      </c>
      <c r="K124" s="5" t="n">
        <v>0</v>
      </c>
      <c r="L124" s="5" t="inlineStr">
        <is>
          <t>BRL</t>
        </is>
      </c>
      <c r="M124" s="5" t="inlineStr">
        <is>
          <t>gasto 13-19/10</t>
        </is>
      </c>
      <c r="N124" s="5" t="inlineStr"/>
      <c r="O124" s="5" t="inlineStr">
        <is>
          <t>AM do cliente</t>
        </is>
      </c>
      <c r="P124" s="5" t="inlineStr"/>
      <c r="Q124" s="5" t="inlineStr">
        <is>
          <t>E3 somar a Trusted de Facebook (apos 20/10)</t>
        </is>
      </c>
      <c r="R124" s="5" t="inlineStr">
        <is>
          <t>2026-10-21</t>
        </is>
      </c>
      <c r="S124" s="5" t="inlineStr"/>
    </row>
    <row r="125">
      <c r="A125" s="5" t="inlineStr">
        <is>
          <t>Meta Ads</t>
        </is>
      </c>
      <c r="B125" s="5" t="inlineStr">
        <is>
          <t>AMZ IMPORTS</t>
        </is>
      </c>
      <c r="C125" s="5" t="inlineStr">
        <is>
          <t>598457556599382</t>
        </is>
      </c>
      <c r="D125" s="5" t="inlineStr">
        <is>
          <t>AMZ IMPORTS</t>
        </is>
      </c>
      <c r="E125" s="5" t="inlineStr">
        <is>
          <t>facebook-ads-QtU1</t>
        </is>
      </c>
      <c r="F125" s="5" t="inlineStr">
        <is>
          <t>2 Funcional — conta parada (leitura confirmada)</t>
        </is>
      </c>
      <c r="G125" s="5" t="n">
        <v>0</v>
      </c>
      <c r="H125" s="5" t="inlineStr"/>
      <c r="I125" s="5" t="n">
        <v>0</v>
      </c>
      <c r="J125" s="5" t="n">
        <v>0</v>
      </c>
      <c r="K125" s="5" t="n">
        <v>0</v>
      </c>
      <c r="L125" s="5" t="inlineStr">
        <is>
          <t>BRL</t>
        </is>
      </c>
      <c r="M125" s="5" t="inlineStr">
        <is>
          <t>gasto 13-19/10</t>
        </is>
      </c>
      <c r="N125" s="5" t="inlineStr"/>
      <c r="O125" s="5" t="inlineStr">
        <is>
          <t>AM do cliente</t>
        </is>
      </c>
      <c r="P125" s="5" t="inlineStr"/>
      <c r="Q125" s="5" t="inlineStr">
        <is>
          <t>E3 somar a Trusted de Facebook (apos 20/10)</t>
        </is>
      </c>
      <c r="R125" s="5" t="inlineStr">
        <is>
          <t>2026-10-21</t>
        </is>
      </c>
      <c r="S125" s="5" t="inlineStr"/>
    </row>
    <row r="126">
      <c r="A126" s="5" t="inlineStr">
        <is>
          <t>Meta Ads</t>
        </is>
      </c>
      <c r="B126" s="5" t="inlineStr">
        <is>
          <t>AUTOMASTER</t>
        </is>
      </c>
      <c r="C126" s="5" t="inlineStr">
        <is>
          <t>1305469349867466</t>
        </is>
      </c>
      <c r="D126" s="5" t="inlineStr">
        <is>
          <t>Auto Master Consórcio</t>
        </is>
      </c>
      <c r="E126" s="5" t="inlineStr">
        <is>
          <t>facebook-ads-wZuX</t>
        </is>
      </c>
      <c r="F126" s="5" t="inlineStr">
        <is>
          <t>2 Funcional — conta parada (leitura confirmada)</t>
        </is>
      </c>
      <c r="G126" s="5" t="n">
        <v>0</v>
      </c>
      <c r="H126" s="5" t="inlineStr"/>
      <c r="I126" s="5" t="n">
        <v>0</v>
      </c>
      <c r="J126" s="5" t="n">
        <v>0</v>
      </c>
      <c r="K126" s="5" t="n">
        <v>0</v>
      </c>
      <c r="L126" s="5" t="inlineStr">
        <is>
          <t>BRL</t>
        </is>
      </c>
      <c r="M126" s="5" t="inlineStr">
        <is>
          <t>gasto 13-19/10</t>
        </is>
      </c>
      <c r="N126" s="5" t="inlineStr"/>
      <c r="O126" s="5" t="inlineStr">
        <is>
          <t>AM do cliente</t>
        </is>
      </c>
      <c r="P126" s="5" t="inlineStr"/>
      <c r="Q126" s="5" t="inlineStr">
        <is>
          <t>E3 somar a Trusted de Facebook (apos 20/10)</t>
        </is>
      </c>
      <c r="R126" s="5" t="inlineStr">
        <is>
          <t>2026-10-21</t>
        </is>
      </c>
      <c r="S126" s="5" t="inlineStr"/>
    </row>
    <row r="127">
      <c r="A127" s="5" t="inlineStr">
        <is>
          <t>Meta Ads</t>
        </is>
      </c>
      <c r="B127" s="5" t="inlineStr">
        <is>
          <t>BA ELÉTRICA</t>
        </is>
      </c>
      <c r="C127" s="5" t="inlineStr">
        <is>
          <t>1158280847839524</t>
        </is>
      </c>
      <c r="D127" s="5" t="inlineStr">
        <is>
          <t>BA Elétrica</t>
        </is>
      </c>
      <c r="E127" s="5" t="inlineStr">
        <is>
          <t>facebook-ads-Hr6d</t>
        </is>
      </c>
      <c r="F127" s="5" t="inlineStr">
        <is>
          <t>2 Funcional — conta parada (leitura confirmada)</t>
        </is>
      </c>
      <c r="G127" s="5" t="n">
        <v>10362</v>
      </c>
      <c r="H127" s="5" t="inlineStr">
        <is>
          <t>2026-09-05</t>
        </is>
      </c>
      <c r="I127" s="5" t="n">
        <v>0</v>
      </c>
      <c r="J127" s="5" t="n">
        <v>0</v>
      </c>
      <c r="K127" s="5" t="n">
        <v>0</v>
      </c>
      <c r="L127" s="5" t="inlineStr">
        <is>
          <t>BRL</t>
        </is>
      </c>
      <c r="M127" s="5" t="inlineStr">
        <is>
          <t>gasto 13-19/10</t>
        </is>
      </c>
      <c r="N127" s="5" t="inlineStr"/>
      <c r="O127" s="5" t="inlineStr">
        <is>
          <t>Nekt (Jussara)</t>
        </is>
      </c>
      <c r="P127" s="5" t="inlineStr"/>
      <c r="Q127" s="5" t="inlineStr">
        <is>
          <t>E3 somar a Trusted de Facebook (apos 20/10)</t>
        </is>
      </c>
      <c r="R127" s="5" t="inlineStr">
        <is>
          <t>2026-10-21</t>
        </is>
      </c>
      <c r="S127" s="5" t="inlineStr"/>
    </row>
    <row r="128">
      <c r="A128" s="5" t="inlineStr">
        <is>
          <t>Meta Ads</t>
        </is>
      </c>
      <c r="B128" s="5" t="inlineStr">
        <is>
          <t>BEST CAR</t>
        </is>
      </c>
      <c r="C128" s="5" t="inlineStr">
        <is>
          <t>898300194464871</t>
        </is>
      </c>
      <c r="D128" s="5" t="inlineStr">
        <is>
          <t>BEST CAR 2026</t>
        </is>
      </c>
      <c r="E128" s="5" t="inlineStr">
        <is>
          <t>facebook-ads-oaSa</t>
        </is>
      </c>
      <c r="F128" s="5" t="inlineStr">
        <is>
          <t>2 Funcional — conta parada (leitura confirmada)</t>
        </is>
      </c>
      <c r="G128" s="5" t="n">
        <v>215</v>
      </c>
      <c r="H128" s="5" t="inlineStr">
        <is>
          <t>2025-03-11</t>
        </is>
      </c>
      <c r="I128" s="5" t="n">
        <v>0</v>
      </c>
      <c r="J128" s="5" t="n">
        <v>0</v>
      </c>
      <c r="K128" s="5" t="n">
        <v>0</v>
      </c>
      <c r="L128" s="5" t="inlineStr">
        <is>
          <t>BRL</t>
        </is>
      </c>
      <c r="M128" s="5" t="inlineStr">
        <is>
          <t>gasto 13-19/10</t>
        </is>
      </c>
      <c r="N128" s="5" t="inlineStr"/>
      <c r="O128" s="5" t="inlineStr">
        <is>
          <t>Nekt (Jussara)</t>
        </is>
      </c>
      <c r="P128" s="5" t="inlineStr"/>
      <c r="Q128" s="5" t="inlineStr">
        <is>
          <t>E3 somar a Trusted de Facebook (apos 20/10)</t>
        </is>
      </c>
      <c r="R128" s="5" t="inlineStr">
        <is>
          <t>2026-10-21</t>
        </is>
      </c>
      <c r="S128" s="5" t="inlineStr"/>
    </row>
    <row r="129">
      <c r="A129" s="5" t="inlineStr">
        <is>
          <t>Meta Ads</t>
        </is>
      </c>
      <c r="B129" s="5" t="inlineStr">
        <is>
          <t>DEB TRANSPORTADORA</t>
        </is>
      </c>
      <c r="C129" s="5" t="inlineStr">
        <is>
          <t>832836096530236</t>
        </is>
      </c>
      <c r="D129" s="5" t="inlineStr">
        <is>
          <t>DEB TRANSPORTES</t>
        </is>
      </c>
      <c r="E129" s="5" t="inlineStr">
        <is>
          <t>facebook-ads-ZYCB</t>
        </is>
      </c>
      <c r="F129" s="5" t="inlineStr">
        <is>
          <t>2 Funcional — conta parada (leitura confirmada)</t>
        </is>
      </c>
      <c r="G129" s="5" t="n">
        <v>94</v>
      </c>
      <c r="H129" s="5" t="inlineStr">
        <is>
          <t>2026-08-23</t>
        </is>
      </c>
      <c r="I129" s="5" t="n">
        <v>0</v>
      </c>
      <c r="J129" s="5" t="n">
        <v>0</v>
      </c>
      <c r="K129" s="5" t="n">
        <v>0</v>
      </c>
      <c r="L129" s="5" t="inlineStr">
        <is>
          <t>BRL</t>
        </is>
      </c>
      <c r="M129" s="5" t="inlineStr">
        <is>
          <t>gasto 13-19/10</t>
        </is>
      </c>
      <c r="N129" s="5" t="inlineStr"/>
      <c r="O129" s="5" t="inlineStr">
        <is>
          <t>Nekt (Jussara)</t>
        </is>
      </c>
      <c r="P129" s="5" t="inlineStr"/>
      <c r="Q129" s="5" t="inlineStr">
        <is>
          <t>E3 somar a Trusted de Facebook (apos 20/10)</t>
        </is>
      </c>
      <c r="R129" s="5" t="inlineStr">
        <is>
          <t>2026-10-21</t>
        </is>
      </c>
      <c r="S129" s="5" t="inlineStr"/>
    </row>
    <row r="130">
      <c r="A130" s="5" t="inlineStr">
        <is>
          <t>Meta Ads</t>
        </is>
      </c>
      <c r="B130" s="5" t="inlineStr">
        <is>
          <t>DON WATCHES</t>
        </is>
      </c>
      <c r="C130" s="5" t="inlineStr">
        <is>
          <t>994469323496741</t>
        </is>
      </c>
      <c r="D130" s="5" t="inlineStr">
        <is>
          <t>Don Watches</t>
        </is>
      </c>
      <c r="E130" s="5" t="inlineStr">
        <is>
          <t>facebook-ads-Eo68</t>
        </is>
      </c>
      <c r="F130" s="5" t="inlineStr">
        <is>
          <t>2 Funcional — conta parada (leitura confirmada)</t>
        </is>
      </c>
      <c r="G130" s="5" t="n">
        <v>710</v>
      </c>
      <c r="H130" s="5" t="inlineStr">
        <is>
          <t>2026-09-17</t>
        </is>
      </c>
      <c r="I130" s="5" t="n">
        <v>0</v>
      </c>
      <c r="J130" s="5" t="n">
        <v>0</v>
      </c>
      <c r="K130" s="5" t="n">
        <v>0</v>
      </c>
      <c r="L130" s="5" t="inlineStr">
        <is>
          <t>BRL</t>
        </is>
      </c>
      <c r="M130" s="5" t="inlineStr">
        <is>
          <t>gasto 13-19/10</t>
        </is>
      </c>
      <c r="N130" s="5" t="inlineStr"/>
      <c r="O130" s="5" t="inlineStr">
        <is>
          <t>Nekt (Jussara)</t>
        </is>
      </c>
      <c r="P130" s="5" t="inlineStr"/>
      <c r="Q130" s="5" t="inlineStr">
        <is>
          <t>E3 somar a Trusted de Facebook (apos 20/10)</t>
        </is>
      </c>
      <c r="R130" s="5" t="inlineStr">
        <is>
          <t>2026-10-21</t>
        </is>
      </c>
      <c r="S130" s="5" t="inlineStr"/>
    </row>
    <row r="131">
      <c r="A131" s="5" t="inlineStr">
        <is>
          <t>Meta Ads</t>
        </is>
      </c>
      <c r="B131" s="5" t="inlineStr">
        <is>
          <t>DR. CABRAL</t>
        </is>
      </c>
      <c r="C131" s="5" t="inlineStr">
        <is>
          <t>2308478406292886</t>
        </is>
      </c>
      <c r="D131" s="5" t="inlineStr">
        <is>
          <t>C/A02 - Cabral</t>
        </is>
      </c>
      <c r="E131" s="5" t="inlineStr">
        <is>
          <t>facebook-ads-cETo</t>
        </is>
      </c>
      <c r="F131" s="5" t="inlineStr">
        <is>
          <t>2 Funcional — conta parada (leitura confirmada)</t>
        </is>
      </c>
      <c r="G131" s="5" t="n">
        <v>264</v>
      </c>
      <c r="H131" s="5" t="inlineStr">
        <is>
          <t>2026-07-31</t>
        </is>
      </c>
      <c r="I131" s="5" t="n">
        <v>0</v>
      </c>
      <c r="J131" s="5" t="n">
        <v>0</v>
      </c>
      <c r="K131" s="5" t="n">
        <v>0</v>
      </c>
      <c r="L131" s="5" t="inlineStr">
        <is>
          <t>BRL</t>
        </is>
      </c>
      <c r="M131" s="5" t="inlineStr">
        <is>
          <t>gasto 13-19/10</t>
        </is>
      </c>
      <c r="N131" s="5" t="inlineStr"/>
      <c r="O131" s="5" t="inlineStr">
        <is>
          <t>Nekt (Jussara)</t>
        </is>
      </c>
      <c r="P131" s="5" t="inlineStr"/>
      <c r="Q131" s="5" t="inlineStr">
        <is>
          <t>E3 somar a Trusted de Facebook (apos 20/10)</t>
        </is>
      </c>
      <c r="R131" s="5" t="inlineStr">
        <is>
          <t>2026-10-21</t>
        </is>
      </c>
      <c r="S131" s="5" t="inlineStr"/>
    </row>
    <row r="132">
      <c r="A132" s="5" t="inlineStr">
        <is>
          <t>Meta Ads</t>
        </is>
      </c>
      <c r="B132" s="5" t="inlineStr">
        <is>
          <t>DR. CABRAL</t>
        </is>
      </c>
      <c r="C132" s="5" t="inlineStr">
        <is>
          <t>352441942346792</t>
        </is>
      </c>
      <c r="D132" s="5" t="inlineStr">
        <is>
          <t>Dr. Cabral</t>
        </is>
      </c>
      <c r="E132" s="5" t="inlineStr">
        <is>
          <t>facebook-ads-lDmk</t>
        </is>
      </c>
      <c r="F132" s="5" t="inlineStr">
        <is>
          <t>2 Funcional — conta parada (leitura confirmada)</t>
        </is>
      </c>
      <c r="G132" s="5" t="n">
        <v>13809</v>
      </c>
      <c r="H132" s="5" t="inlineStr">
        <is>
          <t>2026-04-03</t>
        </is>
      </c>
      <c r="I132" s="5" t="n">
        <v>0</v>
      </c>
      <c r="J132" s="5" t="n">
        <v>0</v>
      </c>
      <c r="K132" s="5" t="n">
        <v>0</v>
      </c>
      <c r="L132" s="5" t="inlineStr">
        <is>
          <t>BRL</t>
        </is>
      </c>
      <c r="M132" s="5" t="inlineStr">
        <is>
          <t>gasto 13-19/10</t>
        </is>
      </c>
      <c r="N132" s="5" t="inlineStr"/>
      <c r="O132" s="5" t="inlineStr">
        <is>
          <t>Admin do BM Meta + AM</t>
        </is>
      </c>
      <c r="P132" s="5" t="inlineStr"/>
      <c r="Q132" s="5" t="inlineStr">
        <is>
          <t>E3 somar a Trusted de Facebook (apos 20/10)</t>
        </is>
      </c>
      <c r="R132" s="5" t="inlineStr">
        <is>
          <t>2026-10-21</t>
        </is>
      </c>
      <c r="S132" s="5" t="inlineStr"/>
    </row>
    <row r="133">
      <c r="A133" s="5" t="inlineStr">
        <is>
          <t>Meta Ads</t>
        </is>
      </c>
      <c r="B133" s="5" t="inlineStr">
        <is>
          <t>KL RENT A CAR</t>
        </is>
      </c>
      <c r="C133" s="5" t="inlineStr">
        <is>
          <t>1519882549713331</t>
        </is>
      </c>
      <c r="D133" s="5" t="inlineStr">
        <is>
          <t>ADS KL 2026</t>
        </is>
      </c>
      <c r="E133" s="5" t="inlineStr">
        <is>
          <t>facebook-ads-NTkr</t>
        </is>
      </c>
      <c r="F133" s="5" t="inlineStr">
        <is>
          <t>2 Funcional — conta parada (leitura confirmada)</t>
        </is>
      </c>
      <c r="G133" s="5" t="n">
        <v>0</v>
      </c>
      <c r="H133" s="5" t="inlineStr"/>
      <c r="I133" s="5" t="n">
        <v>0</v>
      </c>
      <c r="J133" s="5" t="n">
        <v>0</v>
      </c>
      <c r="K133" s="5" t="n">
        <v>0</v>
      </c>
      <c r="L133" s="5" t="inlineStr">
        <is>
          <t>BRL</t>
        </is>
      </c>
      <c r="M133" s="5" t="inlineStr">
        <is>
          <t>gasto 13-19/10</t>
        </is>
      </c>
      <c r="N133" s="5" t="inlineStr"/>
      <c r="O133" s="5" t="inlineStr">
        <is>
          <t>AM do cliente</t>
        </is>
      </c>
      <c r="P133" s="5" t="inlineStr"/>
      <c r="Q133" s="5" t="inlineStr">
        <is>
          <t>E3 somar a Trusted de Facebook (apos 20/10)</t>
        </is>
      </c>
      <c r="R133" s="5" t="inlineStr">
        <is>
          <t>2026-10-21</t>
        </is>
      </c>
      <c r="S133" s="5" t="inlineStr"/>
    </row>
    <row r="134">
      <c r="A134" s="5" t="inlineStr">
        <is>
          <t>Meta Ads</t>
        </is>
      </c>
      <c r="B134" s="5" t="inlineStr">
        <is>
          <t>LEAP MOTORS</t>
        </is>
      </c>
      <c r="C134" s="5" t="inlineStr">
        <is>
          <t>1123326336575814</t>
        </is>
      </c>
      <c r="D134" s="5" t="inlineStr">
        <is>
          <t>Leapmotor Via Marconi Manaus</t>
        </is>
      </c>
      <c r="E134" s="5" t="inlineStr">
        <is>
          <t>facebook-ads-sHYk</t>
        </is>
      </c>
      <c r="F134" s="5" t="inlineStr">
        <is>
          <t>2 Funcional — conta parada (leitura confirmada)</t>
        </is>
      </c>
      <c r="G134" s="5" t="n">
        <v>3711</v>
      </c>
      <c r="H134" s="5" t="inlineStr">
        <is>
          <t>2026-07-18</t>
        </is>
      </c>
      <c r="I134" s="5" t="n">
        <v>0</v>
      </c>
      <c r="J134" s="5" t="n">
        <v>0</v>
      </c>
      <c r="K134" s="5" t="n">
        <v>0</v>
      </c>
      <c r="L134" s="5" t="inlineStr">
        <is>
          <t>BRL</t>
        </is>
      </c>
      <c r="M134" s="5" t="inlineStr">
        <is>
          <t>gasto 13-19/10</t>
        </is>
      </c>
      <c r="N134" s="5" t="inlineStr"/>
      <c r="O134" s="5" t="inlineStr">
        <is>
          <t>Nekt (Jussara)</t>
        </is>
      </c>
      <c r="P134" s="5" t="inlineStr"/>
      <c r="Q134" s="5" t="inlineStr">
        <is>
          <t>E3 somar a Trusted de Facebook (apos 20/10)</t>
        </is>
      </c>
      <c r="R134" s="5" t="inlineStr">
        <is>
          <t>2026-10-21</t>
        </is>
      </c>
      <c r="S134" s="5" t="inlineStr"/>
    </row>
    <row r="135">
      <c r="A135" s="5" t="inlineStr">
        <is>
          <t>Meta Ads</t>
        </is>
      </c>
      <c r="B135" s="5" t="inlineStr">
        <is>
          <t>MILLENIUM</t>
        </is>
      </c>
      <c r="C135" s="5" t="inlineStr">
        <is>
          <t>2273026959377962</t>
        </is>
      </c>
      <c r="D135" s="5" t="inlineStr">
        <is>
          <t>Millennium Shopping</t>
        </is>
      </c>
      <c r="E135" s="5" t="inlineStr">
        <is>
          <t>facebook-ads-fK2P</t>
        </is>
      </c>
      <c r="F135" s="5" t="inlineStr">
        <is>
          <t>2 Funcional — conta parada (leitura confirmada)</t>
        </is>
      </c>
      <c r="G135" s="5" t="n">
        <v>0</v>
      </c>
      <c r="H135" s="5" t="inlineStr"/>
      <c r="I135" s="5" t="n">
        <v>0</v>
      </c>
      <c r="J135" s="5" t="n">
        <v>0</v>
      </c>
      <c r="K135" s="5" t="n">
        <v>0</v>
      </c>
      <c r="L135" s="5" t="inlineStr">
        <is>
          <t>BRL</t>
        </is>
      </c>
      <c r="M135" s="5" t="inlineStr">
        <is>
          <t>gasto 13-19/10</t>
        </is>
      </c>
      <c r="N135" s="5" t="inlineStr"/>
      <c r="O135" s="5" t="inlineStr">
        <is>
          <t>Admin do BM Meta + AM</t>
        </is>
      </c>
      <c r="P135" s="5" t="inlineStr"/>
      <c r="Q135" s="5" t="inlineStr">
        <is>
          <t>E3 somar a Trusted de Facebook (apos 20/10)</t>
        </is>
      </c>
      <c r="R135" s="5" t="inlineStr">
        <is>
          <t>2026-10-21</t>
        </is>
      </c>
      <c r="S135" s="5" t="inlineStr"/>
    </row>
    <row r="136">
      <c r="A136" s="5" t="inlineStr">
        <is>
          <t>Meta Ads</t>
        </is>
      </c>
      <c r="B136" s="5" t="inlineStr">
        <is>
          <t>MOVE RENTAL CARS</t>
        </is>
      </c>
      <c r="C136" s="5" t="inlineStr">
        <is>
          <t>621150572624160</t>
        </is>
      </c>
      <c r="D136" s="5" t="inlineStr">
        <is>
          <t>CA2 - Move Rental Cars</t>
        </is>
      </c>
      <c r="E136" s="5" t="inlineStr">
        <is>
          <t>facebook-ads-T0qp</t>
        </is>
      </c>
      <c r="F136" s="5" t="inlineStr">
        <is>
          <t>2 Funcional — conta parada (leitura confirmada)</t>
        </is>
      </c>
      <c r="G136" s="5" t="n">
        <v>0</v>
      </c>
      <c r="H136" s="5" t="inlineStr"/>
      <c r="I136" s="5" t="n">
        <v>0</v>
      </c>
      <c r="J136" s="5" t="n">
        <v>0</v>
      </c>
      <c r="K136" s="5" t="n">
        <v>0</v>
      </c>
      <c r="L136" s="5" t="inlineStr">
        <is>
          <t>USD</t>
        </is>
      </c>
      <c r="M136" s="5" t="inlineStr">
        <is>
          <t>gasto 13-19/10</t>
        </is>
      </c>
      <c r="N136" s="5" t="inlineStr"/>
      <c r="O136" s="5" t="inlineStr">
        <is>
          <t>AM do cliente</t>
        </is>
      </c>
      <c r="P136" s="5" t="inlineStr"/>
      <c r="Q136" s="5" t="inlineStr">
        <is>
          <t>E3 somar a Trusted de Facebook (apos 20/10)</t>
        </is>
      </c>
      <c r="R136" s="5" t="inlineStr">
        <is>
          <t>2026-10-21</t>
        </is>
      </c>
      <c r="S136" s="5" t="inlineStr"/>
    </row>
    <row r="137">
      <c r="A137" s="5" t="inlineStr">
        <is>
          <t>Meta Ads</t>
        </is>
      </c>
      <c r="B137" s="5" t="inlineStr">
        <is>
          <t>THEREZINHA</t>
        </is>
      </c>
      <c r="C137" s="5" t="inlineStr">
        <is>
          <t>27237448115886959</t>
        </is>
      </c>
      <c r="D137" s="5" t="inlineStr">
        <is>
          <t>THEREZINHA RUIZ PRE-CAMPANHA 2026</t>
        </is>
      </c>
      <c r="E137" s="5" t="inlineStr">
        <is>
          <t>facebook-ads-bIVn</t>
        </is>
      </c>
      <c r="F137" s="5" t="inlineStr">
        <is>
          <t>2 Funcional — conta parada (leitura confirmada)</t>
        </is>
      </c>
      <c r="G137" s="5" t="n">
        <v>178</v>
      </c>
      <c r="H137" s="5" t="inlineStr">
        <is>
          <t>2026-08-03</t>
        </is>
      </c>
      <c r="I137" s="5" t="n">
        <v>0</v>
      </c>
      <c r="J137" s="5" t="n">
        <v>0</v>
      </c>
      <c r="K137" s="5" t="n">
        <v>0</v>
      </c>
      <c r="L137" s="5" t="inlineStr">
        <is>
          <t>BRL</t>
        </is>
      </c>
      <c r="M137" s="5" t="inlineStr">
        <is>
          <t>gasto 13-19/10</t>
        </is>
      </c>
      <c r="N137" s="5" t="inlineStr"/>
      <c r="O137" s="5" t="inlineStr">
        <is>
          <t>Nekt (Jussara)</t>
        </is>
      </c>
      <c r="P137" s="5" t="inlineStr"/>
      <c r="Q137" s="5" t="inlineStr">
        <is>
          <t>E3 somar a Trusted de Facebook (apos 20/10)</t>
        </is>
      </c>
      <c r="R137" s="5" t="inlineStr">
        <is>
          <t>2026-10-21</t>
        </is>
      </c>
      <c r="S137" s="5" t="inlineStr"/>
    </row>
    <row r="138">
      <c r="A138" s="5" t="inlineStr">
        <is>
          <t>Meta Ads</t>
        </is>
      </c>
      <c r="B138" s="5" t="inlineStr">
        <is>
          <t>UNIPAR</t>
        </is>
      </c>
      <c r="C138" s="5" t="inlineStr">
        <is>
          <t>225015789229106</t>
        </is>
      </c>
      <c r="D138" s="5" t="inlineStr">
        <is>
          <t>Unipar Ads</t>
        </is>
      </c>
      <c r="E138" s="5" t="inlineStr">
        <is>
          <t>facebook-ads-VJeY</t>
        </is>
      </c>
      <c r="F138" s="5" t="inlineStr">
        <is>
          <t>2 Funcional — conta parada (leitura confirmada)</t>
        </is>
      </c>
      <c r="G138" s="5" t="n">
        <v>158</v>
      </c>
      <c r="H138" s="5" t="inlineStr">
        <is>
          <t>2026-02-25</t>
        </is>
      </c>
      <c r="I138" s="5" t="n">
        <v>0</v>
      </c>
      <c r="J138" s="5" t="n">
        <v>0</v>
      </c>
      <c r="K138" s="5" t="n">
        <v>0</v>
      </c>
      <c r="L138" s="5" t="inlineStr">
        <is>
          <t>BRL</t>
        </is>
      </c>
      <c r="M138" s="5" t="inlineStr">
        <is>
          <t>gasto 13-19/10</t>
        </is>
      </c>
      <c r="N138" s="5" t="inlineStr"/>
      <c r="O138" s="5" t="inlineStr">
        <is>
          <t>Nekt (Jussara)</t>
        </is>
      </c>
      <c r="P138" s="5" t="inlineStr"/>
      <c r="Q138" s="5" t="inlineStr">
        <is>
          <t>E3 somar a Trusted de Facebook (apos 20/10)</t>
        </is>
      </c>
      <c r="R138" s="5" t="inlineStr">
        <is>
          <t>2026-10-21</t>
        </is>
      </c>
      <c r="S138" s="5" t="inlineStr"/>
    </row>
    <row r="139">
      <c r="A139" s="5" t="inlineStr">
        <is>
          <t>Meta Ads</t>
        </is>
      </c>
      <c r="B139" s="5" t="inlineStr">
        <is>
          <t>AC Display</t>
        </is>
      </c>
      <c r="C139" s="5" t="inlineStr">
        <is>
          <t>1191467889060638</t>
        </is>
      </c>
      <c r="D139" s="5" t="inlineStr">
        <is>
          <t>AC Display</t>
        </is>
      </c>
      <c r="E139" s="5" t="inlineStr">
        <is>
          <t>facebook-ads-Ybn7</t>
        </is>
      </c>
      <c r="F139" s="5" t="inlineStr">
        <is>
          <t>4 Pendente</t>
        </is>
      </c>
      <c r="G139" s="5" t="n"/>
      <c r="H139" s="5" t="inlineStr"/>
      <c r="I139" s="5" t="n"/>
      <c r="J139" s="5" t="n">
        <v>671.71</v>
      </c>
      <c r="K139" s="5" t="n"/>
      <c r="L139" s="5" t="inlineStr">
        <is>
          <t>BRL</t>
        </is>
      </c>
      <c r="M139" s="5" t="inlineStr">
        <is>
          <t>gasto 13-19/10</t>
        </is>
      </c>
      <c r="N139" s="5" t="inlineStr">
        <is>
          <t>Autorizar OAuth (usuário Meta que administra a conta)</t>
        </is>
      </c>
      <c r="O139" s="5" t="inlineStr">
        <is>
          <t>Jussara (OAuth) / admin do BM Meta</t>
        </is>
      </c>
      <c r="P139" s="5" t="inlineStr">
        <is>
          <t>P2</t>
        </is>
      </c>
      <c r="Q139" s="5" t="inlineStr">
        <is>
          <t>E2 publicar rascunho</t>
        </is>
      </c>
      <c r="R139" s="5" t="inlineStr">
        <is>
          <t>2026-10-16</t>
        </is>
      </c>
      <c r="S139" s="5" t="inlineStr"/>
    </row>
    <row r="140">
      <c r="A140" s="5" t="inlineStr">
        <is>
          <t>Meta Ads</t>
        </is>
      </c>
      <c r="B140" s="5" t="inlineStr">
        <is>
          <t>AD - Apa Móveis Cliente</t>
        </is>
      </c>
      <c r="C140" s="5" t="inlineStr">
        <is>
          <t>1116576852068340</t>
        </is>
      </c>
      <c r="D140" s="5" t="inlineStr">
        <is>
          <t>AD - Apa Móveis Cliente</t>
        </is>
      </c>
      <c r="E140" s="5" t="inlineStr">
        <is>
          <t>facebook-ads-kp6e</t>
        </is>
      </c>
      <c r="F140" s="5" t="inlineStr">
        <is>
          <t>4 Pendente</t>
        </is>
      </c>
      <c r="G140" s="5" t="n"/>
      <c r="H140" s="5" t="inlineStr"/>
      <c r="I140" s="5" t="n"/>
      <c r="J140" s="5" t="n">
        <v>6979.58</v>
      </c>
      <c r="K140" s="5" t="n"/>
      <c r="L140" s="5" t="inlineStr">
        <is>
          <t>BRL</t>
        </is>
      </c>
      <c r="M140" s="5" t="inlineStr">
        <is>
          <t>gasto 13-19/10</t>
        </is>
      </c>
      <c r="N140" s="5" t="inlineStr">
        <is>
          <t>Autorizar OAuth (usuário Meta que administra a conta)</t>
        </is>
      </c>
      <c r="O140" s="5" t="inlineStr">
        <is>
          <t>Jussara (OAuth) / admin do BM Meta</t>
        </is>
      </c>
      <c r="P140" s="5" t="inlineStr">
        <is>
          <t>P1</t>
        </is>
      </c>
      <c r="Q140" s="5" t="inlineStr">
        <is>
          <t>E2 publicar rascunho</t>
        </is>
      </c>
      <c r="R140" s="5" t="inlineStr">
        <is>
          <t>2026-10-16</t>
        </is>
      </c>
      <c r="S140" s="5" t="inlineStr"/>
    </row>
    <row r="141">
      <c r="A141" s="5" t="inlineStr">
        <is>
          <t>Meta Ads</t>
        </is>
      </c>
      <c r="B141" s="5" t="inlineStr">
        <is>
          <t>ASLAN</t>
        </is>
      </c>
      <c r="C141" s="5" t="inlineStr">
        <is>
          <t>10152225642513080</t>
        </is>
      </c>
      <c r="D141" s="5" t="inlineStr">
        <is>
          <t>ASLAN</t>
        </is>
      </c>
      <c r="E141" s="5" t="inlineStr">
        <is>
          <t>facebook-ads-p0Ax</t>
        </is>
      </c>
      <c r="F141" s="5" t="inlineStr">
        <is>
          <t>4 Pendente</t>
        </is>
      </c>
      <c r="G141" s="5" t="n"/>
      <c r="H141" s="5" t="inlineStr"/>
      <c r="I141" s="5" t="n"/>
      <c r="J141" s="5" t="n">
        <v>1545.67</v>
      </c>
      <c r="K141" s="5" t="n"/>
      <c r="L141" s="5" t="inlineStr">
        <is>
          <t>BRL</t>
        </is>
      </c>
      <c r="M141" s="5" t="inlineStr">
        <is>
          <t>gasto 13-19/10</t>
        </is>
      </c>
      <c r="N141" s="5" t="inlineStr">
        <is>
          <t>Autorizar OAuth (usuário Meta que administra a conta)</t>
        </is>
      </c>
      <c r="O141" s="5" t="inlineStr">
        <is>
          <t>Jussara (OAuth) / admin do BM Meta</t>
        </is>
      </c>
      <c r="P141" s="5" t="inlineStr">
        <is>
          <t>P1</t>
        </is>
      </c>
      <c r="Q141" s="5" t="inlineStr">
        <is>
          <t>E2 publicar rascunho</t>
        </is>
      </c>
      <c r="R141" s="5" t="inlineStr">
        <is>
          <t>2026-10-16</t>
        </is>
      </c>
      <c r="S141" s="5" t="inlineStr"/>
    </row>
    <row r="142">
      <c r="A142" s="5" t="inlineStr">
        <is>
          <t>Meta Ads</t>
        </is>
      </c>
      <c r="B142" s="5" t="inlineStr">
        <is>
          <t>CA01 - Comodare</t>
        </is>
      </c>
      <c r="C142" s="5" t="inlineStr">
        <is>
          <t>297505125959614</t>
        </is>
      </c>
      <c r="D142" s="5" t="inlineStr">
        <is>
          <t>CA01 - Comodare</t>
        </is>
      </c>
      <c r="E142" s="5" t="inlineStr">
        <is>
          <t>facebook-ads-makr</t>
        </is>
      </c>
      <c r="F142" s="5" t="inlineStr">
        <is>
          <t>4 Pendente</t>
        </is>
      </c>
      <c r="G142" s="5" t="n"/>
      <c r="H142" s="5" t="inlineStr"/>
      <c r="I142" s="5" t="n"/>
      <c r="J142" s="5" t="n">
        <v>3268.95</v>
      </c>
      <c r="K142" s="5" t="n"/>
      <c r="L142" s="5" t="inlineStr">
        <is>
          <t>BRL</t>
        </is>
      </c>
      <c r="M142" s="5" t="inlineStr">
        <is>
          <t>gasto 13-19/10</t>
        </is>
      </c>
      <c r="N142" s="5" t="inlineStr">
        <is>
          <t>Autorizar OAuth (usuário Meta que administra a conta)</t>
        </is>
      </c>
      <c r="O142" s="5" t="inlineStr">
        <is>
          <t>Jussara (OAuth) / admin do BM Meta</t>
        </is>
      </c>
      <c r="P142" s="5" t="inlineStr">
        <is>
          <t>P1</t>
        </is>
      </c>
      <c r="Q142" s="5" t="inlineStr">
        <is>
          <t>E2 publicar rascunho</t>
        </is>
      </c>
      <c r="R142" s="5" t="inlineStr">
        <is>
          <t>2026-10-16</t>
        </is>
      </c>
      <c r="S142" s="5" t="inlineStr"/>
    </row>
    <row r="143">
      <c r="A143" s="5" t="inlineStr">
        <is>
          <t>Meta Ads</t>
        </is>
      </c>
      <c r="B143" s="5" t="inlineStr">
        <is>
          <t>CA02 - DIEGO GONÇALVES - CRIMINAL</t>
        </is>
      </c>
      <c r="C143" s="5" t="inlineStr">
        <is>
          <t>921250516195799</t>
        </is>
      </c>
      <c r="D143" s="5" t="inlineStr">
        <is>
          <t>CA02 - DIEGO GONÇALVES - CRIMINAL</t>
        </is>
      </c>
      <c r="E143" s="5" t="inlineStr">
        <is>
          <t>facebook-ads-hHUb</t>
        </is>
      </c>
      <c r="F143" s="5" t="inlineStr">
        <is>
          <t>4 Pendente</t>
        </is>
      </c>
      <c r="G143" s="5" t="n"/>
      <c r="H143" s="5" t="inlineStr"/>
      <c r="I143" s="5" t="n"/>
      <c r="J143" s="5" t="n">
        <v>327.94</v>
      </c>
      <c r="K143" s="5" t="n"/>
      <c r="L143" s="5" t="inlineStr">
        <is>
          <t>BRL</t>
        </is>
      </c>
      <c r="M143" s="5" t="inlineStr">
        <is>
          <t>gasto 13-19/10</t>
        </is>
      </c>
      <c r="N143" s="5" t="inlineStr">
        <is>
          <t>Autorizar OAuth (usuário Meta que administra a conta)</t>
        </is>
      </c>
      <c r="O143" s="5" t="inlineStr">
        <is>
          <t>Jussara (OAuth) / admin do BM Meta</t>
        </is>
      </c>
      <c r="P143" s="5" t="inlineStr">
        <is>
          <t>P2</t>
        </is>
      </c>
      <c r="Q143" s="5" t="inlineStr">
        <is>
          <t>E2 publicar rascunho</t>
        </is>
      </c>
      <c r="R143" s="5" t="inlineStr">
        <is>
          <t>2026-10-16</t>
        </is>
      </c>
      <c r="S143" s="5" t="inlineStr"/>
    </row>
    <row r="144">
      <c r="A144" s="5" t="inlineStr">
        <is>
          <t>Meta Ads</t>
        </is>
      </c>
      <c r="B144" s="5" t="inlineStr">
        <is>
          <t>CAA | MARCENARIA</t>
        </is>
      </c>
      <c r="C144" s="5" t="inlineStr">
        <is>
          <t>397048629990335</t>
        </is>
      </c>
      <c r="D144" s="5" t="inlineStr">
        <is>
          <t>CAA | MARCENARIA</t>
        </is>
      </c>
      <c r="E144" s="5" t="inlineStr">
        <is>
          <t>facebook-ads-ee81</t>
        </is>
      </c>
      <c r="F144" s="5" t="inlineStr">
        <is>
          <t>4 Pendente</t>
        </is>
      </c>
      <c r="G144" s="5" t="n"/>
      <c r="H144" s="5" t="inlineStr"/>
      <c r="I144" s="5" t="n"/>
      <c r="J144" s="5" t="n">
        <v>0</v>
      </c>
      <c r="K144" s="5" t="n"/>
      <c r="L144" s="5" t="inlineStr">
        <is>
          <t>BRL</t>
        </is>
      </c>
      <c r="M144" s="5" t="inlineStr">
        <is>
          <t>gasto 13-19/10</t>
        </is>
      </c>
      <c r="N144" s="5" t="inlineStr">
        <is>
          <t>Autorizar OAuth (usuário Meta que administra a conta)</t>
        </is>
      </c>
      <c r="O144" s="5" t="inlineStr">
        <is>
          <t>Jussara (OAuth) / admin do BM Meta</t>
        </is>
      </c>
      <c r="P144" s="5" t="inlineStr">
        <is>
          <t>P3</t>
        </is>
      </c>
      <c r="Q144" s="5" t="inlineStr">
        <is>
          <t>E2 publicar rascunho</t>
        </is>
      </c>
      <c r="R144" s="5" t="inlineStr">
        <is>
          <t>2026-10-21</t>
        </is>
      </c>
      <c r="S144" s="5" t="inlineStr"/>
    </row>
    <row r="145">
      <c r="A145" s="5" t="inlineStr">
        <is>
          <t>Meta Ads</t>
        </is>
      </c>
      <c r="B145" s="5" t="inlineStr">
        <is>
          <t>Carlos Oshiro</t>
        </is>
      </c>
      <c r="C145" s="5" t="inlineStr">
        <is>
          <t>10209363090254001</t>
        </is>
      </c>
      <c r="D145" s="5" t="inlineStr">
        <is>
          <t>Carlos Oshiro</t>
        </is>
      </c>
      <c r="E145" s="5" t="inlineStr">
        <is>
          <t>facebook-ads-ZngF</t>
        </is>
      </c>
      <c r="F145" s="5" t="inlineStr">
        <is>
          <t>4 Pendente</t>
        </is>
      </c>
      <c r="G145" s="5" t="n"/>
      <c r="H145" s="5" t="inlineStr"/>
      <c r="I145" s="5" t="n"/>
      <c r="J145" s="5" t="n">
        <v>1942.53</v>
      </c>
      <c r="K145" s="5" t="n"/>
      <c r="L145" s="5" t="inlineStr">
        <is>
          <t>BRL</t>
        </is>
      </c>
      <c r="M145" s="5" t="inlineStr">
        <is>
          <t>gasto 13-19/10</t>
        </is>
      </c>
      <c r="N145" s="5" t="inlineStr">
        <is>
          <t>Autorizar OAuth (usuário Meta que administra a conta)</t>
        </is>
      </c>
      <c r="O145" s="5" t="inlineStr">
        <is>
          <t>Jussara (OAuth) / admin do BM Meta</t>
        </is>
      </c>
      <c r="P145" s="5" t="inlineStr">
        <is>
          <t>P1</t>
        </is>
      </c>
      <c r="Q145" s="5" t="inlineStr">
        <is>
          <t>E2 publicar rascunho</t>
        </is>
      </c>
      <c r="R145" s="5" t="inlineStr">
        <is>
          <t>2026-10-16</t>
        </is>
      </c>
      <c r="S145" s="5" t="inlineStr"/>
    </row>
    <row r="146">
      <c r="A146" s="5" t="inlineStr">
        <is>
          <t>Meta Ads</t>
        </is>
      </c>
      <c r="B146" s="5" t="inlineStr">
        <is>
          <t>Conta - Caritó</t>
        </is>
      </c>
      <c r="C146" s="5" t="inlineStr">
        <is>
          <t>858890251620781</t>
        </is>
      </c>
      <c r="D146" s="5" t="inlineStr">
        <is>
          <t>Conta - Caritó</t>
        </is>
      </c>
      <c r="E146" s="5" t="inlineStr">
        <is>
          <t>facebook-ads-COQt</t>
        </is>
      </c>
      <c r="F146" s="5" t="inlineStr">
        <is>
          <t>4 Pendente</t>
        </is>
      </c>
      <c r="G146" s="5" t="n"/>
      <c r="H146" s="5" t="inlineStr"/>
      <c r="I146" s="5" t="n"/>
      <c r="J146" s="5" t="n">
        <v>950.73</v>
      </c>
      <c r="K146" s="5" t="n"/>
      <c r="L146" s="5" t="inlineStr">
        <is>
          <t>BRL</t>
        </is>
      </c>
      <c r="M146" s="5" t="inlineStr">
        <is>
          <t>gasto 13-19/10</t>
        </is>
      </c>
      <c r="N146" s="5" t="inlineStr">
        <is>
          <t>Autorizar OAuth (usuário Meta que administra a conta)</t>
        </is>
      </c>
      <c r="O146" s="5" t="inlineStr">
        <is>
          <t>Jussara (OAuth) / admin do BM Meta</t>
        </is>
      </c>
      <c r="P146" s="5" t="inlineStr">
        <is>
          <t>P2</t>
        </is>
      </c>
      <c r="Q146" s="5" t="inlineStr">
        <is>
          <t>E2 publicar rascunho</t>
        </is>
      </c>
      <c r="R146" s="5" t="inlineStr">
        <is>
          <t>2026-10-16</t>
        </is>
      </c>
      <c r="S146" s="5" t="inlineStr"/>
    </row>
    <row r="147">
      <c r="A147" s="5" t="inlineStr">
        <is>
          <t>Meta Ads</t>
        </is>
      </c>
      <c r="B147" s="5" t="inlineStr">
        <is>
          <t>DANIELE BARROCO</t>
        </is>
      </c>
      <c r="C147" s="5" t="inlineStr">
        <is>
          <t>3841274122803397</t>
        </is>
      </c>
      <c r="D147" s="5" t="inlineStr">
        <is>
          <t>DANIELE BARROCO</t>
        </is>
      </c>
      <c r="E147" s="5" t="inlineStr">
        <is>
          <t>facebook-ads-frGT</t>
        </is>
      </c>
      <c r="F147" s="5" t="inlineStr">
        <is>
          <t>4 Pendente</t>
        </is>
      </c>
      <c r="G147" s="5" t="n"/>
      <c r="H147" s="5" t="inlineStr"/>
      <c r="I147" s="5" t="n"/>
      <c r="J147" s="5" t="n">
        <v>109.63</v>
      </c>
      <c r="K147" s="5" t="n"/>
      <c r="L147" s="5" t="inlineStr">
        <is>
          <t>BRL</t>
        </is>
      </c>
      <c r="M147" s="5" t="inlineStr">
        <is>
          <t>gasto 13-19/10</t>
        </is>
      </c>
      <c r="N147" s="5" t="inlineStr">
        <is>
          <t>Autorizar OAuth (usuário Meta que administra a conta)</t>
        </is>
      </c>
      <c r="O147" s="5" t="inlineStr">
        <is>
          <t>Jussara (OAuth) / admin do BM Meta</t>
        </is>
      </c>
      <c r="P147" s="5" t="inlineStr">
        <is>
          <t>P2</t>
        </is>
      </c>
      <c r="Q147" s="5" t="inlineStr">
        <is>
          <t>E2 publicar rascunho</t>
        </is>
      </c>
      <c r="R147" s="5" t="inlineStr">
        <is>
          <t>2026-10-21</t>
        </is>
      </c>
      <c r="S147" s="5" t="inlineStr"/>
    </row>
    <row r="148">
      <c r="A148" s="5" t="inlineStr">
        <is>
          <t>Meta Ads</t>
        </is>
      </c>
      <c r="B148" s="5" t="inlineStr">
        <is>
          <t>DOCTOR MAIS</t>
        </is>
      </c>
      <c r="C148" s="5" t="inlineStr">
        <is>
          <t>1400309970874524</t>
        </is>
      </c>
      <c r="D148" s="5" t="inlineStr">
        <is>
          <t>Doctor Mais Saúde</t>
        </is>
      </c>
      <c r="E148" s="5" t="inlineStr">
        <is>
          <t>facebook-ads-oWZs</t>
        </is>
      </c>
      <c r="F148" s="5" t="inlineStr">
        <is>
          <t>4 Pendente</t>
        </is>
      </c>
      <c r="G148" s="5" t="n"/>
      <c r="H148" s="5" t="inlineStr"/>
      <c r="I148" s="5" t="n"/>
      <c r="J148" s="5" t="n">
        <v>1551.06</v>
      </c>
      <c r="K148" s="5" t="n"/>
      <c r="L148" s="5" t="inlineStr">
        <is>
          <t>BRL</t>
        </is>
      </c>
      <c r="M148" s="5" t="inlineStr">
        <is>
          <t>gasto 13-19/10</t>
        </is>
      </c>
      <c r="N148" s="5" t="inlineStr">
        <is>
          <t>Autorizar OAuth (usuário Meta que administra a conta)</t>
        </is>
      </c>
      <c r="O148" s="5" t="inlineStr">
        <is>
          <t>Jussara (OAuth) / admin do BM Meta</t>
        </is>
      </c>
      <c r="P148" s="5" t="inlineStr">
        <is>
          <t>P1</t>
        </is>
      </c>
      <c r="Q148" s="5" t="inlineStr">
        <is>
          <t>E2 publicar rascunho</t>
        </is>
      </c>
      <c r="R148" s="5" t="inlineStr">
        <is>
          <t>2026-10-16</t>
        </is>
      </c>
      <c r="S148" s="5" t="inlineStr"/>
    </row>
    <row r="149">
      <c r="A149" s="5" t="inlineStr">
        <is>
          <t>Meta Ads</t>
        </is>
      </c>
      <c r="B149" s="5" t="inlineStr">
        <is>
          <t>Dra. Raíssa Said</t>
        </is>
      </c>
      <c r="C149" s="5" t="inlineStr">
        <is>
          <t>457173760094729</t>
        </is>
      </c>
      <c r="D149" s="5" t="inlineStr">
        <is>
          <t>Dra. Raíssa Said</t>
        </is>
      </c>
      <c r="E149" s="5" t="inlineStr">
        <is>
          <t>facebook-ads-BHnS</t>
        </is>
      </c>
      <c r="F149" s="5" t="inlineStr">
        <is>
          <t>4 Pendente</t>
        </is>
      </c>
      <c r="G149" s="5" t="n"/>
      <c r="H149" s="5" t="inlineStr"/>
      <c r="I149" s="5" t="n"/>
      <c r="J149" s="5" t="n">
        <v>270.86</v>
      </c>
      <c r="K149" s="5" t="n"/>
      <c r="L149" s="5" t="inlineStr">
        <is>
          <t>BRL</t>
        </is>
      </c>
      <c r="M149" s="5" t="inlineStr">
        <is>
          <t>gasto 13-19/10</t>
        </is>
      </c>
      <c r="N149" s="5" t="inlineStr">
        <is>
          <t>Autorizar OAuth (usuário Meta que administra a conta)</t>
        </is>
      </c>
      <c r="O149" s="5" t="inlineStr">
        <is>
          <t>Jussara (OAuth) / admin do BM Meta</t>
        </is>
      </c>
      <c r="P149" s="5" t="inlineStr">
        <is>
          <t>P2</t>
        </is>
      </c>
      <c r="Q149" s="5" t="inlineStr">
        <is>
          <t>E2 publicar rascunho</t>
        </is>
      </c>
      <c r="R149" s="5" t="inlineStr">
        <is>
          <t>2026-10-16</t>
        </is>
      </c>
      <c r="S149" s="5" t="inlineStr"/>
    </row>
    <row r="150">
      <c r="A150" s="5" t="inlineStr">
        <is>
          <t>Meta Ads</t>
        </is>
      </c>
      <c r="B150" s="5" t="inlineStr">
        <is>
          <t>Health&amp;CO</t>
        </is>
      </c>
      <c r="C150" s="5" t="inlineStr">
        <is>
          <t>1035369481716881</t>
        </is>
      </c>
      <c r="D150" s="5" t="inlineStr">
        <is>
          <t>Health&amp;CO</t>
        </is>
      </c>
      <c r="E150" s="5" t="inlineStr">
        <is>
          <t>facebook-ads-W0k4</t>
        </is>
      </c>
      <c r="F150" s="5" t="inlineStr">
        <is>
          <t>4 Pendente</t>
        </is>
      </c>
      <c r="G150" s="5" t="n"/>
      <c r="H150" s="5" t="inlineStr"/>
      <c r="I150" s="5" t="n"/>
      <c r="J150" s="5" t="n">
        <v>394.87</v>
      </c>
      <c r="K150" s="5" t="n"/>
      <c r="L150" s="5" t="inlineStr">
        <is>
          <t>BRL</t>
        </is>
      </c>
      <c r="M150" s="5" t="inlineStr">
        <is>
          <t>gasto 13-19/10</t>
        </is>
      </c>
      <c r="N150" s="5" t="inlineStr">
        <is>
          <t>Autorizar OAuth (usuário Meta que administra a conta)</t>
        </is>
      </c>
      <c r="O150" s="5" t="inlineStr">
        <is>
          <t>Jussara (OAuth) / admin do BM Meta</t>
        </is>
      </c>
      <c r="P150" s="5" t="inlineStr">
        <is>
          <t>P2</t>
        </is>
      </c>
      <c r="Q150" s="5" t="inlineStr">
        <is>
          <t>E2 publicar rascunho</t>
        </is>
      </c>
      <c r="R150" s="5" t="inlineStr">
        <is>
          <t>2026-10-21</t>
        </is>
      </c>
      <c r="S150" s="5" t="inlineStr"/>
    </row>
    <row r="151">
      <c r="A151" s="5" t="inlineStr">
        <is>
          <t>Meta Ads</t>
        </is>
      </c>
      <c r="B151" s="5" t="inlineStr">
        <is>
          <t>IDIOMAS ASLAN - MANAUS</t>
        </is>
      </c>
      <c r="C151" s="5" t="inlineStr">
        <is>
          <t>1860113914417999</t>
        </is>
      </c>
      <c r="D151" s="5" t="inlineStr">
        <is>
          <t>IDIOMAS ASLAN - MANAUS</t>
        </is>
      </c>
      <c r="E151" s="5" t="inlineStr">
        <is>
          <t>facebook-ads-v5Tx</t>
        </is>
      </c>
      <c r="F151" s="5" t="inlineStr">
        <is>
          <t>4 Pendente</t>
        </is>
      </c>
      <c r="G151" s="5" t="n"/>
      <c r="H151" s="5" t="inlineStr"/>
      <c r="I151" s="5" t="n"/>
      <c r="J151" s="5" t="n">
        <v>1857.7</v>
      </c>
      <c r="K151" s="5" t="n"/>
      <c r="L151" s="5" t="inlineStr">
        <is>
          <t>BRL</t>
        </is>
      </c>
      <c r="M151" s="5" t="inlineStr">
        <is>
          <t>gasto 13-19/10</t>
        </is>
      </c>
      <c r="N151" s="5" t="inlineStr">
        <is>
          <t>Autorizar OAuth (usuário Meta que administra a conta)</t>
        </is>
      </c>
      <c r="O151" s="5" t="inlineStr">
        <is>
          <t>Jussara (OAuth) / admin do BM Meta</t>
        </is>
      </c>
      <c r="P151" s="5" t="inlineStr">
        <is>
          <t>P1</t>
        </is>
      </c>
      <c r="Q151" s="5" t="inlineStr">
        <is>
          <t>E2 publicar rascunho</t>
        </is>
      </c>
      <c r="R151" s="5" t="inlineStr">
        <is>
          <t>2026-10-16</t>
        </is>
      </c>
      <c r="S151" s="5" t="inlineStr"/>
    </row>
    <row r="152">
      <c r="A152" s="5" t="inlineStr">
        <is>
          <t>Meta Ads</t>
        </is>
      </c>
      <c r="B152" s="5" t="inlineStr">
        <is>
          <t>Maravilha Motos (Honda Motos)</t>
        </is>
      </c>
      <c r="C152" s="5" t="inlineStr">
        <is>
          <t>621358888783722</t>
        </is>
      </c>
      <c r="D152" s="5" t="inlineStr">
        <is>
          <t>Maravilha Motos (Honda Motos)</t>
        </is>
      </c>
      <c r="E152" s="5" t="inlineStr">
        <is>
          <t>facebook-ads-oZX7</t>
        </is>
      </c>
      <c r="F152" s="5" t="inlineStr">
        <is>
          <t>4 Pendente</t>
        </is>
      </c>
      <c r="G152" s="5" t="n"/>
      <c r="H152" s="5" t="inlineStr"/>
      <c r="I152" s="5" t="n"/>
      <c r="J152" s="5" t="n">
        <v>4442.39</v>
      </c>
      <c r="K152" s="5" t="n"/>
      <c r="L152" s="5" t="inlineStr">
        <is>
          <t>BRL</t>
        </is>
      </c>
      <c r="M152" s="5" t="inlineStr">
        <is>
          <t>gasto 13-19/10</t>
        </is>
      </c>
      <c r="N152" s="5" t="inlineStr">
        <is>
          <t>Autorizar OAuth (usuário Meta que administra a conta)</t>
        </is>
      </c>
      <c r="O152" s="5" t="inlineStr">
        <is>
          <t>Jussara (OAuth) / admin do BM Meta</t>
        </is>
      </c>
      <c r="P152" s="5" t="inlineStr">
        <is>
          <t>P1</t>
        </is>
      </c>
      <c r="Q152" s="5" t="inlineStr">
        <is>
          <t>E2 publicar rascunho</t>
        </is>
      </c>
      <c r="R152" s="5" t="inlineStr">
        <is>
          <t>2026-10-16</t>
        </is>
      </c>
      <c r="S152" s="5" t="inlineStr"/>
    </row>
    <row r="153">
      <c r="A153" s="5" t="inlineStr">
        <is>
          <t>Meta Ads</t>
        </is>
      </c>
      <c r="B153" s="5" t="inlineStr">
        <is>
          <t>Portal Vidros</t>
        </is>
      </c>
      <c r="C153" s="5" t="inlineStr">
        <is>
          <t>253131609132871</t>
        </is>
      </c>
      <c r="D153" s="5" t="inlineStr">
        <is>
          <t>Portal Vidros</t>
        </is>
      </c>
      <c r="E153" s="5" t="inlineStr">
        <is>
          <t>facebook-ads-5fzj</t>
        </is>
      </c>
      <c r="F153" s="5" t="inlineStr">
        <is>
          <t>4 Pendente</t>
        </is>
      </c>
      <c r="G153" s="5" t="n"/>
      <c r="H153" s="5" t="inlineStr"/>
      <c r="I153" s="5" t="n"/>
      <c r="J153" s="5" t="n">
        <v>202.45</v>
      </c>
      <c r="K153" s="5" t="n"/>
      <c r="L153" s="5" t="inlineStr">
        <is>
          <t>BRL</t>
        </is>
      </c>
      <c r="M153" s="5" t="inlineStr">
        <is>
          <t>gasto 13-19/10</t>
        </is>
      </c>
      <c r="N153" s="5" t="inlineStr">
        <is>
          <t>Autorizar OAuth (usuário Meta que administra a conta)</t>
        </is>
      </c>
      <c r="O153" s="5" t="inlineStr">
        <is>
          <t>Jussara (OAuth) / admin do BM Meta</t>
        </is>
      </c>
      <c r="P153" s="5" t="inlineStr">
        <is>
          <t>P2</t>
        </is>
      </c>
      <c r="Q153" s="5" t="inlineStr">
        <is>
          <t>E2 publicar rascunho</t>
        </is>
      </c>
      <c r="R153" s="5" t="inlineStr">
        <is>
          <t>2026-10-21</t>
        </is>
      </c>
      <c r="S153" s="5" t="inlineStr"/>
    </row>
    <row r="154">
      <c r="A154" s="5" t="inlineStr">
        <is>
          <t>Meta Ads</t>
        </is>
      </c>
      <c r="B154" s="5" t="inlineStr">
        <is>
          <t>RCB Imóveis</t>
        </is>
      </c>
      <c r="C154" s="5" t="inlineStr">
        <is>
          <t>640714104680163</t>
        </is>
      </c>
      <c r="D154" s="5" t="inlineStr">
        <is>
          <t>RCB Imóveis</t>
        </is>
      </c>
      <c r="E154" s="5" t="inlineStr">
        <is>
          <t>facebook-ads-89qf</t>
        </is>
      </c>
      <c r="F154" s="5" t="inlineStr">
        <is>
          <t>4 Pendente</t>
        </is>
      </c>
      <c r="G154" s="5" t="n"/>
      <c r="H154" s="5" t="inlineStr"/>
      <c r="I154" s="5" t="n"/>
      <c r="J154" s="5" t="n">
        <v>439.27</v>
      </c>
      <c r="K154" s="5" t="n"/>
      <c r="L154" s="5" t="inlineStr">
        <is>
          <t>BRL</t>
        </is>
      </c>
      <c r="M154" s="5" t="inlineStr">
        <is>
          <t>gasto 13-19/10</t>
        </is>
      </c>
      <c r="N154" s="5" t="inlineStr">
        <is>
          <t>Autorizar OAuth (usuário Meta que administra a conta)</t>
        </is>
      </c>
      <c r="O154" s="5" t="inlineStr">
        <is>
          <t>Jussara (OAuth) / admin do BM Meta</t>
        </is>
      </c>
      <c r="P154" s="5" t="inlineStr">
        <is>
          <t>P2</t>
        </is>
      </c>
      <c r="Q154" s="5" t="inlineStr">
        <is>
          <t>E2 publicar rascunho</t>
        </is>
      </c>
      <c r="R154" s="5" t="inlineStr">
        <is>
          <t>2026-10-21</t>
        </is>
      </c>
      <c r="S154" s="5" t="inlineStr"/>
    </row>
    <row r="155">
      <c r="A155" s="5" t="inlineStr">
        <is>
          <t>Meta Ads</t>
        </is>
      </c>
      <c r="B155" s="5" t="inlineStr">
        <is>
          <t>Rocha e Paiva</t>
        </is>
      </c>
      <c r="C155" s="5" t="inlineStr">
        <is>
          <t>851016409491820</t>
        </is>
      </c>
      <c r="D155" s="5" t="inlineStr">
        <is>
          <t>Rocha e Paiva</t>
        </is>
      </c>
      <c r="E155" s="5" t="inlineStr">
        <is>
          <t>facebook-ads-l3ZN</t>
        </is>
      </c>
      <c r="F155" s="5" t="inlineStr">
        <is>
          <t>4 Pendente</t>
        </is>
      </c>
      <c r="G155" s="5" t="n"/>
      <c r="H155" s="5" t="inlineStr"/>
      <c r="I155" s="5" t="n"/>
      <c r="J155" s="5" t="n">
        <v>125.86</v>
      </c>
      <c r="K155" s="5" t="n"/>
      <c r="L155" s="5" t="inlineStr">
        <is>
          <t>BRL</t>
        </is>
      </c>
      <c r="M155" s="5" t="inlineStr">
        <is>
          <t>gasto 13-19/10</t>
        </is>
      </c>
      <c r="N155" s="5" t="inlineStr">
        <is>
          <t>Autorizar OAuth (usuário Meta que administra a conta)</t>
        </is>
      </c>
      <c r="O155" s="5" t="inlineStr">
        <is>
          <t>Jussara (OAuth) / admin do BM Meta</t>
        </is>
      </c>
      <c r="P155" s="5" t="inlineStr">
        <is>
          <t>P2</t>
        </is>
      </c>
      <c r="Q155" s="5" t="inlineStr">
        <is>
          <t>E2 publicar rascunho</t>
        </is>
      </c>
      <c r="R155" s="5" t="inlineStr">
        <is>
          <t>2026-10-21</t>
        </is>
      </c>
      <c r="S155" s="5" t="inlineStr"/>
    </row>
    <row r="156">
      <c r="A156" s="5" t="inlineStr">
        <is>
          <t>Meta Ads</t>
        </is>
      </c>
      <c r="B156" s="5" t="inlineStr">
        <is>
          <t>[LB - 28] - [02]</t>
        </is>
      </c>
      <c r="C156" s="5" t="inlineStr">
        <is>
          <t>1202496351138145</t>
        </is>
      </c>
      <c r="D156" s="5" t="inlineStr">
        <is>
          <t>[LB - 28] - [02]</t>
        </is>
      </c>
      <c r="E156" s="5" t="inlineStr">
        <is>
          <t>facebook-ads-f8Qd</t>
        </is>
      </c>
      <c r="F156" s="5" t="inlineStr">
        <is>
          <t>4 Pendente</t>
        </is>
      </c>
      <c r="G156" s="5" t="n"/>
      <c r="H156" s="5" t="inlineStr"/>
      <c r="I156" s="5" t="n"/>
      <c r="J156" s="5" t="n">
        <v>111.54</v>
      </c>
      <c r="K156" s="5" t="n"/>
      <c r="L156" s="5" t="inlineStr">
        <is>
          <t>USD</t>
        </is>
      </c>
      <c r="M156" s="5" t="inlineStr">
        <is>
          <t>gasto 13-19/10</t>
        </is>
      </c>
      <c r="N156" s="5" t="inlineStr">
        <is>
          <t>Autorizar OAuth (usuário Meta que administra a conta)</t>
        </is>
      </c>
      <c r="O156" s="5" t="inlineStr">
        <is>
          <t>Jussara (OAuth) / admin do BM Meta</t>
        </is>
      </c>
      <c r="P156" s="5" t="inlineStr">
        <is>
          <t>P3</t>
        </is>
      </c>
      <c r="Q156" s="5" t="inlineStr">
        <is>
          <t>E2 publicar rascunho</t>
        </is>
      </c>
      <c r="R156" s="5" t="inlineStr">
        <is>
          <t>2026-10-21</t>
        </is>
      </c>
      <c r="S156" s="5" t="inlineStr"/>
    </row>
    <row r="157">
      <c r="A157" s="5" t="inlineStr">
        <is>
          <t>Meta Ads</t>
        </is>
      </c>
      <c r="B157" s="5" t="inlineStr">
        <is>
          <t>ARENA TINTAS [E-COM + AQUISIÇÃO]</t>
        </is>
      </c>
      <c r="C157" s="5" t="inlineStr">
        <is>
          <t>1353498886525803</t>
        </is>
      </c>
      <c r="D157" s="5" t="inlineStr">
        <is>
          <t>CA 02 - ARENA</t>
        </is>
      </c>
      <c r="E157" s="5" t="inlineStr">
        <is>
          <t>facebook-ads-xDLw</t>
        </is>
      </c>
      <c r="F157" s="5" t="inlineStr">
        <is>
          <t>5 Bloqueada</t>
        </is>
      </c>
      <c r="G157" s="5" t="n"/>
      <c r="H157" s="5" t="inlineStr"/>
      <c r="I157" s="5" t="n"/>
      <c r="J157" s="5" t="n"/>
      <c r="K157" s="5" t="n"/>
      <c r="L157" s="5" t="inlineStr"/>
      <c r="M157" s="5" t="inlineStr">
        <is>
          <t>gasto 13-19/10</t>
        </is>
      </c>
      <c r="N157" s="5" t="inlineStr">
        <is>
          <t>Atribuir a conta ao usuário que autorizou a Nekt; a fonte desativa após 3 falhas seguidas (27/10)</t>
        </is>
      </c>
      <c r="O157" s="5" t="inlineStr">
        <is>
          <t>Admin do BM Meta (a confirmar)</t>
        </is>
      </c>
      <c r="P157" s="5" t="inlineStr">
        <is>
          <t>P1</t>
        </is>
      </c>
      <c r="Q157" s="5" t="inlineStr">
        <is>
          <t>E1 desbloquear</t>
        </is>
      </c>
      <c r="R157" s="5" t="inlineStr">
        <is>
          <t>2026-10-20</t>
        </is>
      </c>
      <c r="S157" s="5" t="inlineStr"/>
    </row>
    <row r="158">
      <c r="A158" s="5" t="inlineStr">
        <is>
          <t>Meta Ads</t>
        </is>
      </c>
      <c r="B158" s="5" t="inlineStr">
        <is>
          <t>BA ELÉTRICA</t>
        </is>
      </c>
      <c r="C158" s="5" t="inlineStr">
        <is>
          <t>3929073683929162</t>
        </is>
      </c>
      <c r="D158" s="5" t="inlineStr">
        <is>
          <t>BA Eletrica 2026</t>
        </is>
      </c>
      <c r="E158" s="5" t="inlineStr">
        <is>
          <t>facebook-ads-qy0W</t>
        </is>
      </c>
      <c r="F158" s="5" t="inlineStr">
        <is>
          <t>5 Bloqueada</t>
        </is>
      </c>
      <c r="G158" s="5" t="n"/>
      <c r="H158" s="5" t="inlineStr"/>
      <c r="I158" s="5" t="n"/>
      <c r="J158" s="5" t="n"/>
      <c r="K158" s="5" t="n"/>
      <c r="L158" s="5" t="inlineStr"/>
      <c r="M158" s="5" t="inlineStr">
        <is>
          <t>gasto 13-19/10</t>
        </is>
      </c>
      <c r="N158" s="5" t="inlineStr">
        <is>
          <t>Atribuir a conta ao usuário que autorizou a Nekt; a fonte desativa após 3 falhas seguidas (27/10)</t>
        </is>
      </c>
      <c r="O158" s="5" t="inlineStr">
        <is>
          <t>Admin do BM Meta (a confirmar)</t>
        </is>
      </c>
      <c r="P158" s="5" t="inlineStr">
        <is>
          <t>P1</t>
        </is>
      </c>
      <c r="Q158" s="5" t="inlineStr">
        <is>
          <t>E1 desbloquear</t>
        </is>
      </c>
      <c r="R158" s="5" t="inlineStr">
        <is>
          <t>2026-10-20</t>
        </is>
      </c>
      <c r="S158" s="5" t="inlineStr"/>
    </row>
    <row r="159">
      <c r="A159" s="5" t="inlineStr">
        <is>
          <t>Meta Ads</t>
        </is>
      </c>
      <c r="B159" s="5" t="inlineStr">
        <is>
          <t>CA - Braga Motos 2</t>
        </is>
      </c>
      <c r="C159" s="5" t="inlineStr">
        <is>
          <t>799542434129273</t>
        </is>
      </c>
      <c r="D159" s="5" t="inlineStr">
        <is>
          <t>CA - Braga Motos 2</t>
        </is>
      </c>
      <c r="E159" s="5" t="inlineStr">
        <is>
          <t>facebook-ads-bU6W</t>
        </is>
      </c>
      <c r="F159" s="5" t="inlineStr">
        <is>
          <t>5 Bloqueada</t>
        </is>
      </c>
      <c r="G159" s="5" t="n"/>
      <c r="H159" s="5" t="inlineStr"/>
      <c r="I159" s="5" t="n"/>
      <c r="J159" s="5" t="n">
        <v>1404.57</v>
      </c>
      <c r="K159" s="5" t="n"/>
      <c r="L159" s="5" t="inlineStr">
        <is>
          <t>BRL</t>
        </is>
      </c>
      <c r="M159" s="5" t="inlineStr">
        <is>
          <t>gasto 13-19/10</t>
        </is>
      </c>
      <c r="N159" s="5" t="inlineStr">
        <is>
          <t>Erro da própria conta: corrigir o anúncio na Meta ou desabilitar o stream ads (decisão)</t>
        </is>
      </c>
      <c r="O159" s="5" t="inlineStr">
        <is>
          <t>Gestor de mídia da conta</t>
        </is>
      </c>
      <c r="P159" s="5" t="inlineStr">
        <is>
          <t>P1</t>
        </is>
      </c>
      <c r="Q159" s="5" t="inlineStr">
        <is>
          <t>E1 desbloquear</t>
        </is>
      </c>
      <c r="R159" s="5" t="inlineStr">
        <is>
          <t>2026-10-20</t>
        </is>
      </c>
      <c r="S159" s="5" t="inlineStr"/>
    </row>
    <row r="160">
      <c r="A160" s="5" t="inlineStr">
        <is>
          <t>Meta Ads</t>
        </is>
      </c>
      <c r="B160" s="5" t="inlineStr">
        <is>
          <t>FARMABEM</t>
        </is>
      </c>
      <c r="C160" s="5" t="inlineStr">
        <is>
          <t>567576989043346</t>
        </is>
      </c>
      <c r="D160" s="5" t="inlineStr">
        <is>
          <t>FARMABEM</t>
        </is>
      </c>
      <c r="E160" s="5" t="inlineStr">
        <is>
          <t>facebook-ads-tWIP</t>
        </is>
      </c>
      <c r="F160" s="5" t="inlineStr">
        <is>
          <t>5 Bloqueada</t>
        </is>
      </c>
      <c r="G160" s="5" t="n"/>
      <c r="H160" s="5" t="inlineStr"/>
      <c r="I160" s="5" t="n"/>
      <c r="J160" s="5" t="n">
        <v>3045.47</v>
      </c>
      <c r="K160" s="5" t="n"/>
      <c r="L160" s="5" t="inlineStr">
        <is>
          <t>BRL</t>
        </is>
      </c>
      <c r="M160" s="5" t="inlineStr">
        <is>
          <t>gasto 13-19/10</t>
        </is>
      </c>
      <c r="N160" s="5" t="inlineStr">
        <is>
          <t>Atribuir a conta ao usuário que autorizou a Nekt; a fonte desativa após 3 falhas seguidas (27/10)</t>
        </is>
      </c>
      <c r="O160" s="5" t="inlineStr">
        <is>
          <t>Admin do BM Meta (a confirmar)</t>
        </is>
      </c>
      <c r="P160" s="5" t="inlineStr">
        <is>
          <t>P1</t>
        </is>
      </c>
      <c r="Q160" s="5" t="inlineStr">
        <is>
          <t>E1 desbloquear</t>
        </is>
      </c>
      <c r="R160" s="5" t="inlineStr">
        <is>
          <t>2026-10-20</t>
        </is>
      </c>
      <c r="S160" s="5" t="inlineStr"/>
    </row>
    <row r="161">
      <c r="A161" s="5" t="inlineStr">
        <is>
          <t>Meta Ads</t>
        </is>
      </c>
      <c r="B161" s="5" t="inlineStr">
        <is>
          <t>SANTO REMÉDIO</t>
        </is>
      </c>
      <c r="C161" s="5" t="inlineStr">
        <is>
          <t>1447738532498728</t>
        </is>
      </c>
      <c r="D161" s="5" t="inlineStr">
        <is>
          <t>Santo Remédio - Ecommerce</t>
        </is>
      </c>
      <c r="E161" s="5" t="inlineStr">
        <is>
          <t>facebook-ads-geQA</t>
        </is>
      </c>
      <c r="F161" s="5" t="inlineStr">
        <is>
          <t>5 Bloqueada</t>
        </is>
      </c>
      <c r="G161" s="5" t="n"/>
      <c r="H161" s="5" t="inlineStr"/>
      <c r="I161" s="5" t="n"/>
      <c r="J161" s="5" t="n">
        <v>1113.07</v>
      </c>
      <c r="K161" s="5" t="n"/>
      <c r="L161" s="5" t="inlineStr">
        <is>
          <t>BRL</t>
        </is>
      </c>
      <c r="M161" s="5" t="inlineStr">
        <is>
          <t>gasto 13-19/10</t>
        </is>
      </c>
      <c r="N161" s="5" t="inlineStr">
        <is>
          <t>Atribuir a conta ao usuário que autorizou a Nekt; a fonte desativa após 3 falhas seguidas (27/10)</t>
        </is>
      </c>
      <c r="O161" s="5" t="inlineStr">
        <is>
          <t>Admin do BM Meta (a confirmar)</t>
        </is>
      </c>
      <c r="P161" s="5" t="inlineStr">
        <is>
          <t>P1</t>
        </is>
      </c>
      <c r="Q161" s="5" t="inlineStr">
        <is>
          <t>E1 desbloquear</t>
        </is>
      </c>
      <c r="R161" s="5" t="inlineStr">
        <is>
          <t>2026-10-20</t>
        </is>
      </c>
      <c r="S161" s="5" t="inlineStr"/>
    </row>
    <row r="162">
      <c r="A162" s="5" t="inlineStr">
        <is>
          <t>Meta Ads</t>
        </is>
      </c>
      <c r="B162" s="5" t="inlineStr">
        <is>
          <t>SANTO REMÉDIO</t>
        </is>
      </c>
      <c r="C162" s="5" t="inlineStr">
        <is>
          <t>1416962860454080</t>
        </is>
      </c>
      <c r="D162" s="5" t="inlineStr">
        <is>
          <t>SANTO REMÉDIO - RESERVA NOVA</t>
        </is>
      </c>
      <c r="E162" s="5" t="inlineStr">
        <is>
          <t>facebook-ads-f6h8</t>
        </is>
      </c>
      <c r="F162" s="5" t="inlineStr">
        <is>
          <t>5 Bloqueada</t>
        </is>
      </c>
      <c r="G162" s="5" t="n"/>
      <c r="H162" s="5" t="inlineStr"/>
      <c r="I162" s="5" t="n"/>
      <c r="J162" s="5" t="n">
        <v>0</v>
      </c>
      <c r="K162" s="5" t="n"/>
      <c r="L162" s="5" t="inlineStr">
        <is>
          <t>BRL</t>
        </is>
      </c>
      <c r="M162" s="5" t="inlineStr">
        <is>
          <t>gasto 13-19/10</t>
        </is>
      </c>
      <c r="N162" s="5" t="inlineStr">
        <is>
          <t>Atribuir a conta ao usuário que autorizou a Nekt; a fonte desativa após 3 falhas seguidas (27/10)</t>
        </is>
      </c>
      <c r="O162" s="5" t="inlineStr">
        <is>
          <t>Admin do BM Meta (a confirmar)</t>
        </is>
      </c>
      <c r="P162" s="5" t="inlineStr">
        <is>
          <t>P1</t>
        </is>
      </c>
      <c r="Q162" s="5" t="inlineStr">
        <is>
          <t>E1 desbloquear</t>
        </is>
      </c>
      <c r="R162" s="5" t="inlineStr">
        <is>
          <t>2026-10-20</t>
        </is>
      </c>
      <c r="S162" s="5" t="inlineStr"/>
    </row>
    <row r="163">
      <c r="A163" s="5" t="inlineStr">
        <is>
          <t>Meta Ads</t>
        </is>
      </c>
      <c r="B163" s="5" t="inlineStr">
        <is>
          <t>SHIZEN</t>
        </is>
      </c>
      <c r="C163" s="5" t="inlineStr">
        <is>
          <t>2554732188167620</t>
        </is>
      </c>
      <c r="D163" s="5" t="inlineStr">
        <is>
          <t>Shizen Veículos Ads</t>
        </is>
      </c>
      <c r="E163" s="5" t="inlineStr">
        <is>
          <t>facebook-ads-KUkx</t>
        </is>
      </c>
      <c r="F163" s="5" t="inlineStr">
        <is>
          <t>5 Bloqueada</t>
        </is>
      </c>
      <c r="G163" s="5" t="n"/>
      <c r="H163" s="5" t="inlineStr"/>
      <c r="I163" s="5" t="n"/>
      <c r="J163" s="5" t="n">
        <v>8236.610000000001</v>
      </c>
      <c r="K163" s="5" t="n"/>
      <c r="L163" s="5" t="inlineStr">
        <is>
          <t>BRL</t>
        </is>
      </c>
      <c r="M163" s="5" t="inlineStr">
        <is>
          <t>gasto 13-19/10</t>
        </is>
      </c>
      <c r="N163" s="5" t="inlineStr">
        <is>
          <t>Atribuir a conta ao usuário que autorizou a Nekt; a fonte desativa após 3 falhas seguidas (27/10)</t>
        </is>
      </c>
      <c r="O163" s="5" t="inlineStr">
        <is>
          <t>Admin do BM Meta (a confirmar)</t>
        </is>
      </c>
      <c r="P163" s="5" t="inlineStr">
        <is>
          <t>P1</t>
        </is>
      </c>
      <c r="Q163" s="5" t="inlineStr">
        <is>
          <t>E1 desbloquear</t>
        </is>
      </c>
      <c r="R163" s="5" t="inlineStr">
        <is>
          <t>2026-10-20</t>
        </is>
      </c>
      <c r="S163" s="5" t="inlineStr"/>
    </row>
    <row r="164">
      <c r="A164" s="5" t="inlineStr">
        <is>
          <t>Meta Ads</t>
        </is>
      </c>
      <c r="B164" s="5" t="inlineStr">
        <is>
          <t>SHIZEN</t>
        </is>
      </c>
      <c r="C164" s="5" t="inlineStr">
        <is>
          <t>1043156199204094</t>
        </is>
      </c>
      <c r="D164" s="5" t="inlineStr">
        <is>
          <t>Shizen Veículos</t>
        </is>
      </c>
      <c r="E164" s="5" t="inlineStr">
        <is>
          <t>facebook-ads-OJi6</t>
        </is>
      </c>
      <c r="F164" s="5" t="inlineStr">
        <is>
          <t>5 Bloqueada</t>
        </is>
      </c>
      <c r="G164" s="5" t="n"/>
      <c r="H164" s="5" t="inlineStr"/>
      <c r="I164" s="5" t="n"/>
      <c r="J164" s="5" t="n">
        <v>0</v>
      </c>
      <c r="K164" s="5" t="n"/>
      <c r="L164" s="5" t="inlineStr">
        <is>
          <t>BRL</t>
        </is>
      </c>
      <c r="M164" s="5" t="inlineStr">
        <is>
          <t>gasto 13-19/10</t>
        </is>
      </c>
      <c r="N164" s="5" t="inlineStr">
        <is>
          <t>Atribuir a conta ao usuário que autorizou a Nekt; a fonte desativa após 3 falhas seguidas (27/10)</t>
        </is>
      </c>
      <c r="O164" s="5" t="inlineStr">
        <is>
          <t>Admin do BM Meta (a confirmar)</t>
        </is>
      </c>
      <c r="P164" s="5" t="inlineStr">
        <is>
          <t>P1</t>
        </is>
      </c>
      <c r="Q164" s="5" t="inlineStr">
        <is>
          <t>E1 desbloquear</t>
        </is>
      </c>
      <c r="R164" s="5" t="inlineStr">
        <is>
          <t>2026-10-20</t>
        </is>
      </c>
      <c r="S164" s="5" t="inlineStr"/>
    </row>
    <row r="165">
      <c r="A165" s="5" t="inlineStr">
        <is>
          <t>Meta Ads</t>
        </is>
      </c>
      <c r="B165" s="5" t="inlineStr">
        <is>
          <t>NOVA ERA BOA VISTA [LOJAS]</t>
        </is>
      </c>
      <c r="C165" s="5" t="inlineStr">
        <is>
          <t>948191880491744</t>
        </is>
      </c>
      <c r="D165" s="5" t="inlineStr">
        <is>
          <t>LOJA | NOVA ERA BV | CART</t>
        </is>
      </c>
      <c r="E165" s="5" t="inlineStr">
        <is>
          <t>—</t>
        </is>
      </c>
      <c r="F165" s="5" t="inlineStr">
        <is>
          <t>6 Fora do escopo (Nova Era)</t>
        </is>
      </c>
      <c r="G165" s="5" t="n"/>
      <c r="H165" s="5" t="inlineStr"/>
      <c r="I165" s="5" t="n"/>
      <c r="J165" s="5" t="n"/>
      <c r="K165" s="5" t="n"/>
      <c r="L165" s="5" t="inlineStr"/>
      <c r="M165" s="5" t="inlineStr">
        <is>
          <t>gasto 13-19/10</t>
        </is>
      </c>
      <c r="N165" s="5" t="inlineStr">
        <is>
          <t>Nenhuma — não integrar</t>
        </is>
      </c>
      <c r="O165" s="5" t="inlineStr">
        <is>
          <t>Jussara</t>
        </is>
      </c>
      <c r="P165" s="5" t="inlineStr"/>
      <c r="Q165" s="5" t="inlineStr">
        <is>
          <t>fora do escopo</t>
        </is>
      </c>
      <c r="R165" s="5" t="inlineStr"/>
      <c r="S165" s="5" t="inlineStr"/>
    </row>
    <row r="166">
      <c r="A166" s="5" t="inlineStr">
        <is>
          <t>Meta Ads</t>
        </is>
      </c>
      <c r="B166" s="5" t="inlineStr">
        <is>
          <t>NOVA ERA BOA VISTA [LOJAS]</t>
        </is>
      </c>
      <c r="C166" s="5" t="inlineStr">
        <is>
          <t>352359153007293</t>
        </is>
      </c>
      <c r="D166" s="5" t="inlineStr">
        <is>
          <t>LOJA | NOVA ERA BV | BOLETO</t>
        </is>
      </c>
      <c r="E166" s="5" t="inlineStr">
        <is>
          <t>facebook-ads-vVCz</t>
        </is>
      </c>
      <c r="F166" s="5" t="inlineStr">
        <is>
          <t>6 Fora do escopo (Nova Era)</t>
        </is>
      </c>
      <c r="G166" s="5" t="n"/>
      <c r="H166" s="5" t="inlineStr"/>
      <c r="I166" s="5" t="n"/>
      <c r="J166" s="5" t="n"/>
      <c r="K166" s="5" t="n"/>
      <c r="L166" s="5" t="inlineStr"/>
      <c r="M166" s="5" t="inlineStr">
        <is>
          <t>gasto 13-19/10</t>
        </is>
      </c>
      <c r="N166" s="5" t="inlineStr">
        <is>
          <t>Nenhuma — não integrar</t>
        </is>
      </c>
      <c r="O166" s="5" t="inlineStr">
        <is>
          <t>Jussara</t>
        </is>
      </c>
      <c r="P166" s="5" t="inlineStr"/>
      <c r="Q166" s="5" t="inlineStr">
        <is>
          <t>fora do escopo</t>
        </is>
      </c>
      <c r="R166" s="5" t="inlineStr"/>
      <c r="S166" s="5" t="inlineStr"/>
    </row>
    <row r="167">
      <c r="A167" s="5" t="inlineStr">
        <is>
          <t>Meta Ads</t>
        </is>
      </c>
      <c r="B167" s="5" t="inlineStr">
        <is>
          <t>NOVA ERA MAO [E-COM]</t>
        </is>
      </c>
      <c r="C167" s="5" t="inlineStr">
        <is>
          <t>586634267094605</t>
        </is>
      </c>
      <c r="D167" s="5" t="inlineStr">
        <is>
          <t>ECOMM | NOVA ERA MAO | CART</t>
        </is>
      </c>
      <c r="E167" s="5" t="inlineStr">
        <is>
          <t>facebook-ads-MhGm</t>
        </is>
      </c>
      <c r="F167" s="5" t="inlineStr">
        <is>
          <t>6 Fora do escopo (Nova Era)</t>
        </is>
      </c>
      <c r="G167" s="5" t="n"/>
      <c r="H167" s="5" t="inlineStr"/>
      <c r="I167" s="5" t="n"/>
      <c r="J167" s="5" t="n"/>
      <c r="K167" s="5" t="n"/>
      <c r="L167" s="5" t="inlineStr"/>
      <c r="M167" s="5" t="inlineStr">
        <is>
          <t>gasto 13-19/10</t>
        </is>
      </c>
      <c r="N167" s="5" t="inlineStr">
        <is>
          <t>Nenhuma — não integrar</t>
        </is>
      </c>
      <c r="O167" s="5" t="inlineStr">
        <is>
          <t>Jussara</t>
        </is>
      </c>
      <c r="P167" s="5" t="inlineStr"/>
      <c r="Q167" s="5" t="inlineStr">
        <is>
          <t>fora do escopo</t>
        </is>
      </c>
      <c r="R167" s="5" t="inlineStr"/>
      <c r="S167" s="5" t="inlineStr"/>
    </row>
    <row r="168">
      <c r="A168" s="5" t="inlineStr">
        <is>
          <t>Meta Ads</t>
        </is>
      </c>
      <c r="B168" s="5" t="inlineStr">
        <is>
          <t>NOVA ERA MAO [LOJAS]</t>
        </is>
      </c>
      <c r="C168" s="5" t="inlineStr">
        <is>
          <t>505310105888680</t>
        </is>
      </c>
      <c r="D168" s="5" t="inlineStr">
        <is>
          <t>LOJA | NOVA ERA MAO | CART</t>
        </is>
      </c>
      <c r="E168" s="5" t="inlineStr">
        <is>
          <t>—</t>
        </is>
      </c>
      <c r="F168" s="5" t="inlineStr">
        <is>
          <t>6 Fora do escopo (Nova Era)</t>
        </is>
      </c>
      <c r="G168" s="5" t="n"/>
      <c r="H168" s="5" t="inlineStr"/>
      <c r="I168" s="5" t="n"/>
      <c r="J168" s="5" t="n"/>
      <c r="K168" s="5" t="n"/>
      <c r="L168" s="5" t="inlineStr"/>
      <c r="M168" s="5" t="inlineStr">
        <is>
          <t>gasto 13-19/10</t>
        </is>
      </c>
      <c r="N168" s="5" t="inlineStr">
        <is>
          <t>Nenhuma — não integrar</t>
        </is>
      </c>
      <c r="O168" s="5" t="inlineStr">
        <is>
          <t>Jussara</t>
        </is>
      </c>
      <c r="P168" s="5" t="inlineStr"/>
      <c r="Q168" s="5" t="inlineStr">
        <is>
          <t>fora do escopo</t>
        </is>
      </c>
      <c r="R168" s="5" t="inlineStr"/>
      <c r="S168" s="5" t="inlineStr"/>
    </row>
    <row r="169">
      <c r="A169" s="5" t="inlineStr">
        <is>
          <t>Meta Ads</t>
        </is>
      </c>
      <c r="B169" s="5" t="inlineStr">
        <is>
          <t>NOVA ERA MAO [LOJAS]</t>
        </is>
      </c>
      <c r="C169" s="5" t="inlineStr">
        <is>
          <t>954170215297725</t>
        </is>
      </c>
      <c r="D169" s="5" t="inlineStr">
        <is>
          <t>LOJA | NOVA ERA MAO | BOLETO</t>
        </is>
      </c>
      <c r="E169" s="5" t="inlineStr">
        <is>
          <t>—</t>
        </is>
      </c>
      <c r="F169" s="5" t="inlineStr">
        <is>
          <t>6 Fora do escopo (Nova Era)</t>
        </is>
      </c>
      <c r="G169" s="5" t="n"/>
      <c r="H169" s="5" t="inlineStr"/>
      <c r="I169" s="5" t="n"/>
      <c r="J169" s="5" t="n"/>
      <c r="K169" s="5" t="n"/>
      <c r="L169" s="5" t="inlineStr"/>
      <c r="M169" s="5" t="inlineStr">
        <is>
          <t>gasto 13-19/10</t>
        </is>
      </c>
      <c r="N169" s="5" t="inlineStr">
        <is>
          <t>Nenhuma — não integrar</t>
        </is>
      </c>
      <c r="O169" s="5" t="inlineStr">
        <is>
          <t>Jussara</t>
        </is>
      </c>
      <c r="P169" s="5" t="inlineStr"/>
      <c r="Q169" s="5" t="inlineStr">
        <is>
          <t>fora do escopo</t>
        </is>
      </c>
      <c r="R169" s="5" t="inlineStr"/>
      <c r="S169" s="5" t="inlineStr"/>
    </row>
    <row r="170">
      <c r="A170" s="5" t="inlineStr">
        <is>
          <t>Meta Ads</t>
        </is>
      </c>
      <c r="B170" s="5" t="inlineStr">
        <is>
          <t>NOVA ERA PVH [E-COM]</t>
        </is>
      </c>
      <c r="C170" s="5" t="inlineStr">
        <is>
          <t>1712780629673042</t>
        </is>
      </c>
      <c r="D170" s="5" t="inlineStr">
        <is>
          <t>ECOMM | NOVA ERA PVH | CART</t>
        </is>
      </c>
      <c r="E170" s="5" t="inlineStr">
        <is>
          <t>—</t>
        </is>
      </c>
      <c r="F170" s="5" t="inlineStr">
        <is>
          <t>6 Fora do escopo (Nova Era)</t>
        </is>
      </c>
      <c r="G170" s="5" t="n"/>
      <c r="H170" s="5" t="inlineStr"/>
      <c r="I170" s="5" t="n"/>
      <c r="J170" s="5" t="n"/>
      <c r="K170" s="5" t="n"/>
      <c r="L170" s="5" t="inlineStr"/>
      <c r="M170" s="5" t="inlineStr">
        <is>
          <t>gasto 13-19/10</t>
        </is>
      </c>
      <c r="N170" s="5" t="inlineStr">
        <is>
          <t>Nenhuma — não integrar</t>
        </is>
      </c>
      <c r="O170" s="5" t="inlineStr">
        <is>
          <t>Jussara</t>
        </is>
      </c>
      <c r="P170" s="5" t="inlineStr"/>
      <c r="Q170" s="5" t="inlineStr">
        <is>
          <t>fora do escopo</t>
        </is>
      </c>
      <c r="R170" s="5" t="inlineStr"/>
      <c r="S170" s="5" t="inlineStr"/>
    </row>
    <row r="171">
      <c r="A171" s="5" t="inlineStr">
        <is>
          <t>Meta Ads</t>
        </is>
      </c>
      <c r="B171" s="5" t="inlineStr">
        <is>
          <t>NOVA ERA PVH [LOJAS]</t>
        </is>
      </c>
      <c r="C171" s="5" t="inlineStr">
        <is>
          <t>1357422745405148</t>
        </is>
      </c>
      <c r="D171" s="5" t="inlineStr">
        <is>
          <t>LOJA | NOVA ERA PVH | CART</t>
        </is>
      </c>
      <c r="E171" s="5" t="inlineStr">
        <is>
          <t>facebook-ads-5HRd</t>
        </is>
      </c>
      <c r="F171" s="5" t="inlineStr">
        <is>
          <t>6 Fora do escopo (Nova Era)</t>
        </is>
      </c>
      <c r="G171" s="5" t="n"/>
      <c r="H171" s="5" t="inlineStr"/>
      <c r="I171" s="5" t="n"/>
      <c r="J171" s="5" t="n"/>
      <c r="K171" s="5" t="n"/>
      <c r="L171" s="5" t="inlineStr"/>
      <c r="M171" s="5" t="inlineStr">
        <is>
          <t>gasto 13-19/10</t>
        </is>
      </c>
      <c r="N171" s="5" t="inlineStr">
        <is>
          <t>Nenhuma — não integrar</t>
        </is>
      </c>
      <c r="O171" s="5" t="inlineStr">
        <is>
          <t>Jussara</t>
        </is>
      </c>
      <c r="P171" s="5" t="inlineStr"/>
      <c r="Q171" s="5" t="inlineStr">
        <is>
          <t>fora do escopo</t>
        </is>
      </c>
      <c r="R171" s="5" t="inlineStr"/>
      <c r="S171" s="5" t="inlineStr"/>
    </row>
    <row r="172">
      <c r="A172" s="5" t="inlineStr">
        <is>
          <t>Meta Ads</t>
        </is>
      </c>
      <c r="B172" s="5" t="inlineStr">
        <is>
          <t>NOVA ERA PVH [LOJAS]</t>
        </is>
      </c>
      <c r="C172" s="5" t="inlineStr">
        <is>
          <t>1065915344022819</t>
        </is>
      </c>
      <c r="D172" s="5" t="inlineStr">
        <is>
          <t>LOJA | NOVA ERA PVH | BOLETO</t>
        </is>
      </c>
      <c r="E172" s="5" t="inlineStr">
        <is>
          <t>—</t>
        </is>
      </c>
      <c r="F172" s="5" t="inlineStr">
        <is>
          <t>6 Fora do escopo (Nova Era)</t>
        </is>
      </c>
      <c r="G172" s="5" t="n"/>
      <c r="H172" s="5" t="inlineStr"/>
      <c r="I172" s="5" t="n"/>
      <c r="J172" s="5" t="n"/>
      <c r="K172" s="5" t="n"/>
      <c r="L172" s="5" t="inlineStr"/>
      <c r="M172" s="5" t="inlineStr">
        <is>
          <t>gasto 13-19/10</t>
        </is>
      </c>
      <c r="N172" s="5" t="inlineStr">
        <is>
          <t>Nenhuma — não integrar</t>
        </is>
      </c>
      <c r="O172" s="5" t="inlineStr">
        <is>
          <t>Jussara</t>
        </is>
      </c>
      <c r="P172" s="5" t="inlineStr"/>
      <c r="Q172" s="5" t="inlineStr">
        <is>
          <t>fora do escopo</t>
        </is>
      </c>
      <c r="R172" s="5" t="inlineStr"/>
      <c r="S172" s="5" t="inlineStr"/>
    </row>
    <row r="173">
      <c r="A173" s="5" t="inlineStr">
        <is>
          <t>Meta Ads</t>
        </is>
      </c>
      <c r="B173" s="5" t="inlineStr">
        <is>
          <t>MARI MARI</t>
        </is>
      </c>
      <c r="C173" s="5" t="inlineStr">
        <is>
          <t>1784288139062535</t>
        </is>
      </c>
      <c r="D173" s="5" t="inlineStr">
        <is>
          <t>LOJA | MARIMARI | CART</t>
        </is>
      </c>
      <c r="E173" s="5" t="inlineStr">
        <is>
          <t>facebook-ads-gp7f</t>
        </is>
      </c>
      <c r="F173" s="5" t="inlineStr">
        <is>
          <t>8 Dispensável (duplicata, ex-cliente, inativo, duplicidade ou decisão de não conectar)</t>
        </is>
      </c>
      <c r="G173" s="5" t="n"/>
      <c r="H173" s="5" t="inlineStr"/>
      <c r="I173" s="5" t="n"/>
      <c r="J173" s="5" t="n"/>
      <c r="K173" s="5" t="n"/>
      <c r="L173" s="5" t="inlineStr"/>
      <c r="M173" s="5" t="inlineStr">
        <is>
          <t>gasto 13-19/10</t>
        </is>
      </c>
      <c r="N173" s="5" t="inlineStr">
        <is>
          <t>Não precisa manter (ex-cliente) (informado em 16/10; ver planilha oficial #1743)</t>
        </is>
      </c>
      <c r="O173" s="5" t="inlineStr">
        <is>
          <t>Admin do BM Meta (a confirmar)</t>
        </is>
      </c>
      <c r="P173" s="5" t="inlineStr"/>
      <c r="Q173" s="5" t="inlineStr">
        <is>
          <t>dispensavel</t>
        </is>
      </c>
      <c r="R173" s="5" t="inlineStr">
        <is>
          <t>2026-10-20</t>
        </is>
      </c>
      <c r="S173" s="5" t="inlineStr"/>
    </row>
    <row r="174">
      <c r="A174" s="5" t="inlineStr">
        <is>
          <t>Meta Ads</t>
        </is>
      </c>
      <c r="B174" s="5" t="inlineStr">
        <is>
          <t>MARI MARI</t>
        </is>
      </c>
      <c r="C174" s="5" t="inlineStr">
        <is>
          <t>1170243277232796</t>
        </is>
      </c>
      <c r="D174" s="5" t="inlineStr">
        <is>
          <t>LOJA | MARIMARI | BOLETO</t>
        </is>
      </c>
      <c r="E174" s="5" t="inlineStr">
        <is>
          <t>facebook-ads-flYR</t>
        </is>
      </c>
      <c r="F174" s="5" t="inlineStr">
        <is>
          <t>8 Dispensável (duplicata, ex-cliente, inativo, duplicidade ou decisão de não conectar)</t>
        </is>
      </c>
      <c r="G174" s="5" t="n"/>
      <c r="H174" s="5" t="inlineStr"/>
      <c r="I174" s="5" t="n"/>
      <c r="J174" s="5" t="n"/>
      <c r="K174" s="5" t="n"/>
      <c r="L174" s="5" t="inlineStr"/>
      <c r="M174" s="5" t="inlineStr">
        <is>
          <t>gasto 13-19/10</t>
        </is>
      </c>
      <c r="N174" s="5" t="inlineStr">
        <is>
          <t>Não precisa manter (ex-cliente) (informado em 16/10; ver planilha oficial #1743)</t>
        </is>
      </c>
      <c r="O174" s="5" t="inlineStr">
        <is>
          <t>Admin do BM Meta (a confirmar)</t>
        </is>
      </c>
      <c r="P174" s="5" t="inlineStr"/>
      <c r="Q174" s="5" t="inlineStr">
        <is>
          <t>dispensavel</t>
        </is>
      </c>
      <c r="R174" s="5" t="inlineStr">
        <is>
          <t>2026-10-20</t>
        </is>
      </c>
      <c r="S174" s="5" t="inlineStr"/>
    </row>
    <row r="175">
      <c r="A175" s="5" t="inlineStr">
        <is>
          <t>Meta Ads</t>
        </is>
      </c>
      <c r="B175" s="5" t="inlineStr">
        <is>
          <t>OLÁ CASA NOVA</t>
        </is>
      </c>
      <c r="C175" s="5" t="inlineStr">
        <is>
          <t>1220216601651609</t>
        </is>
      </c>
      <c r="D175" s="5" t="inlineStr">
        <is>
          <t>Olá Casa Nova</t>
        </is>
      </c>
      <c r="E175" s="5" t="inlineStr">
        <is>
          <t>facebook-ads-FKfU</t>
        </is>
      </c>
      <c r="F175" s="5" t="inlineStr">
        <is>
          <t>8 Dispensável (duplicata, ex-cliente, inativo, duplicidade ou decisão de não conectar)</t>
        </is>
      </c>
      <c r="G175" s="5" t="n">
        <v>0</v>
      </c>
      <c r="H175" s="5" t="inlineStr"/>
      <c r="I175" s="5" t="n">
        <v>0</v>
      </c>
      <c r="J175" s="5" t="n"/>
      <c r="K175" s="5" t="n"/>
      <c r="L175" s="5" t="inlineStr"/>
      <c r="M175" s="5" t="inlineStr">
        <is>
          <t>gasto 13-19/10</t>
        </is>
      </c>
      <c r="N175" s="5" t="inlineStr">
        <is>
          <t>Não precisa manter (ex-cliente) (informado em 16/10; ver planilha oficial #1743)</t>
        </is>
      </c>
      <c r="O175" s="5" t="inlineStr">
        <is>
          <t>AM do cliente</t>
        </is>
      </c>
      <c r="P175" s="5" t="inlineStr"/>
      <c r="Q175" s="5" t="inlineStr">
        <is>
          <t>dispensavel</t>
        </is>
      </c>
      <c r="R175" s="5" t="inlineStr">
        <is>
          <t>2026-10-21</t>
        </is>
      </c>
      <c r="S175" s="5" t="inlineStr"/>
    </row>
    <row r="176">
      <c r="A176" s="5" t="inlineStr">
        <is>
          <t>Meta Ads</t>
        </is>
      </c>
      <c r="B176" s="5" t="inlineStr">
        <is>
          <t>PÁTIO GOURMET [E-COM]</t>
        </is>
      </c>
      <c r="C176" s="5" t="inlineStr">
        <is>
          <t>584150916837951</t>
        </is>
      </c>
      <c r="D176" s="5" t="inlineStr">
        <is>
          <t>ECOMM | PÁTIO GOURMET | BOLETO</t>
        </is>
      </c>
      <c r="E176" s="5" t="inlineStr">
        <is>
          <t>facebook-ads-bhnp</t>
        </is>
      </c>
      <c r="F176" s="5" t="inlineStr">
        <is>
          <t>8 Dispensável (duplicata, ex-cliente, inativo, duplicidade ou decisão de não conectar)</t>
        </is>
      </c>
      <c r="G176" s="5" t="n"/>
      <c r="H176" s="5" t="inlineStr"/>
      <c r="I176" s="5" t="n"/>
      <c r="J176" s="5" t="n"/>
      <c r="K176" s="5" t="n"/>
      <c r="L176" s="5" t="inlineStr"/>
      <c r="M176" s="5" t="inlineStr">
        <is>
          <t>gasto 13-19/10</t>
        </is>
      </c>
      <c r="N176" s="5" t="inlineStr">
        <is>
          <t>Não precisa manter (ex-cliente) (informado em 16/10; ver planilha oficial #1743)</t>
        </is>
      </c>
      <c r="O176" s="5" t="inlineStr">
        <is>
          <t>Admin do BM Meta (a confirmar)</t>
        </is>
      </c>
      <c r="P176" s="5" t="inlineStr"/>
      <c r="Q176" s="5" t="inlineStr">
        <is>
          <t>dispensavel</t>
        </is>
      </c>
      <c r="R176" s="5" t="inlineStr">
        <is>
          <t>2026-10-20</t>
        </is>
      </c>
      <c r="S176" s="5" t="inlineStr"/>
    </row>
    <row r="177">
      <c r="A177" s="5" t="inlineStr">
        <is>
          <t>Meta Ads</t>
        </is>
      </c>
      <c r="B177" s="5" t="inlineStr">
        <is>
          <t>PÁTIO GOURMET [E-COM]</t>
        </is>
      </c>
      <c r="C177" s="5" t="inlineStr">
        <is>
          <t>3940938792809644</t>
        </is>
      </c>
      <c r="D177" s="5" t="inlineStr">
        <is>
          <t>ECOMM | PÁTIO GOURMET | CART</t>
        </is>
      </c>
      <c r="E177" s="5" t="inlineStr">
        <is>
          <t>facebook-ads-XuHY</t>
        </is>
      </c>
      <c r="F177" s="5" t="inlineStr">
        <is>
          <t>8 Dispensável (duplicata, ex-cliente, inativo, duplicidade ou decisão de não conectar)</t>
        </is>
      </c>
      <c r="G177" s="5" t="n"/>
      <c r="H177" s="5" t="inlineStr"/>
      <c r="I177" s="5" t="n"/>
      <c r="J177" s="5" t="n"/>
      <c r="K177" s="5" t="n"/>
      <c r="L177" s="5" t="inlineStr"/>
      <c r="M177" s="5" t="inlineStr">
        <is>
          <t>gasto 13-19/10</t>
        </is>
      </c>
      <c r="N177" s="5" t="inlineStr">
        <is>
          <t>Não precisa manter (ex-cliente) (informado em 16/10; ver planilha oficial #1743)</t>
        </is>
      </c>
      <c r="O177" s="5" t="inlineStr">
        <is>
          <t>Admin do BM Meta (a confirmar)</t>
        </is>
      </c>
      <c r="P177" s="5" t="inlineStr"/>
      <c r="Q177" s="5" t="inlineStr">
        <is>
          <t>dispensavel</t>
        </is>
      </c>
      <c r="R177" s="5" t="inlineStr">
        <is>
          <t>2026-10-20</t>
        </is>
      </c>
      <c r="S177" s="5" t="inlineStr"/>
    </row>
    <row r="178">
      <c r="A178" s="5" t="inlineStr">
        <is>
          <t>Meta Ads</t>
        </is>
      </c>
      <c r="B178" s="5" t="inlineStr">
        <is>
          <t>PÁTIO GOURMET [LOJAS]</t>
        </is>
      </c>
      <c r="C178" s="5" t="inlineStr">
        <is>
          <t>622036110506720</t>
        </is>
      </c>
      <c r="D178" s="5" t="inlineStr">
        <is>
          <t>LOJA | PÁTIO GOURMET | CART</t>
        </is>
      </c>
      <c r="E178" s="5" t="inlineStr">
        <is>
          <t>facebook-ads-7vwE</t>
        </is>
      </c>
      <c r="F178" s="5" t="inlineStr">
        <is>
          <t>8 Dispensável (duplicata, ex-cliente, inativo, duplicidade ou decisão de não conectar)</t>
        </is>
      </c>
      <c r="G178" s="5" t="n"/>
      <c r="H178" s="5" t="inlineStr"/>
      <c r="I178" s="5" t="n"/>
      <c r="J178" s="5" t="n"/>
      <c r="K178" s="5" t="n"/>
      <c r="L178" s="5" t="inlineStr"/>
      <c r="M178" s="5" t="inlineStr">
        <is>
          <t>gasto 13-19/10</t>
        </is>
      </c>
      <c r="N178" s="5" t="inlineStr">
        <is>
          <t>Não precisa manter (ex-cliente) (informado em 16/10; ver planilha oficial #1743)</t>
        </is>
      </c>
      <c r="O178" s="5" t="inlineStr">
        <is>
          <t>Admin do BM Meta (a confirmar)</t>
        </is>
      </c>
      <c r="P178" s="5" t="inlineStr"/>
      <c r="Q178" s="5" t="inlineStr">
        <is>
          <t>dispensavel</t>
        </is>
      </c>
      <c r="R178" s="5" t="inlineStr">
        <is>
          <t>2026-10-20</t>
        </is>
      </c>
      <c r="S178" s="5" t="inlineStr"/>
    </row>
    <row r="179">
      <c r="A179" s="5" t="inlineStr">
        <is>
          <t>Meta Ads</t>
        </is>
      </c>
      <c r="B179" s="5" t="inlineStr">
        <is>
          <t>PÁTIO GOURMET [LOJAS]</t>
        </is>
      </c>
      <c r="C179" s="5" t="inlineStr">
        <is>
          <t>1251093218983069</t>
        </is>
      </c>
      <c r="D179" s="5" t="inlineStr">
        <is>
          <t>LOJA | PÁTIO GOURMET | BOLETO</t>
        </is>
      </c>
      <c r="E179" s="5" t="inlineStr">
        <is>
          <t>facebook-ads-uJNk</t>
        </is>
      </c>
      <c r="F179" s="5" t="inlineStr">
        <is>
          <t>8 Dispensável (duplicata, ex-cliente, inativo, duplicidade ou decisão de não conectar)</t>
        </is>
      </c>
      <c r="G179" s="5" t="n"/>
      <c r="H179" s="5" t="inlineStr"/>
      <c r="I179" s="5" t="n"/>
      <c r="J179" s="5" t="n"/>
      <c r="K179" s="5" t="n"/>
      <c r="L179" s="5" t="inlineStr"/>
      <c r="M179" s="5" t="inlineStr">
        <is>
          <t>gasto 13-19/10</t>
        </is>
      </c>
      <c r="N179" s="5" t="inlineStr">
        <is>
          <t>Não precisa manter (ex-cliente) (informado em 16/10; ver planilha oficial #1743)</t>
        </is>
      </c>
      <c r="O179" s="5" t="inlineStr">
        <is>
          <t>Suporte Nekt + admin do BM Meta</t>
        </is>
      </c>
      <c r="P179" s="5" t="inlineStr"/>
      <c r="Q179" s="5" t="inlineStr">
        <is>
          <t>dispensavel</t>
        </is>
      </c>
      <c r="R179" s="5" t="inlineStr">
        <is>
          <t>2026-10-21</t>
        </is>
      </c>
      <c r="S179" s="5" t="inlineStr"/>
    </row>
    <row r="180">
      <c r="A180" s="5" t="inlineStr">
        <is>
          <t>RD Station</t>
        </is>
      </c>
      <c r="B180" s="5" t="inlineStr">
        <is>
          <t>(RD_station_marketing)</t>
        </is>
      </c>
      <c r="C180" s="5" t="inlineStr">
        <is>
          <t>—</t>
        </is>
      </c>
      <c r="D180" s="5" t="inlineStr">
        <is>
          <t>RD_station_marketing</t>
        </is>
      </c>
      <c r="E180" s="5" t="inlineStr">
        <is>
          <t>rd-station-oYKw</t>
        </is>
      </c>
      <c r="F180" s="5" t="inlineStr">
        <is>
          <t>1 Funcional — dado ativo</t>
        </is>
      </c>
      <c r="G180" s="5" t="n">
        <v>622</v>
      </c>
      <c r="H180" s="5" t="inlineStr">
        <is>
          <t>2026-10-18</t>
        </is>
      </c>
      <c r="I180" s="5" t="n">
        <v>450</v>
      </c>
      <c r="J180" s="5" t="n"/>
      <c r="K180" s="5" t="n"/>
      <c r="L180" s="5" t="inlineStr"/>
      <c r="M180" s="5" t="inlineStr">
        <is>
          <t>ultimo evento</t>
        </is>
      </c>
      <c r="N180" s="5" t="inlineStr"/>
      <c r="O180" s="5" t="inlineStr">
        <is>
          <t>AM do cliente / Jussara</t>
        </is>
      </c>
      <c r="P180" s="5" t="inlineStr"/>
      <c r="Q180" s="5" t="inlineStr">
        <is>
          <t>ja na Trusted</t>
        </is>
      </c>
      <c r="R180" s="5" t="inlineStr"/>
      <c r="S180" s="5" t="inlineStr">
        <is>
          <t>167 contatos · 425 conversões · grão completo (cadastro com detalhe) · carga 13/10</t>
        </is>
      </c>
    </row>
    <row r="181">
      <c r="A181" s="5" t="inlineStr">
        <is>
          <t>RD Station</t>
        </is>
      </c>
      <c r="B181" s="5" t="inlineStr">
        <is>
          <t>AC DISPLAY</t>
        </is>
      </c>
      <c r="C181" s="5" t="inlineStr">
        <is>
          <t>—</t>
        </is>
      </c>
      <c r="D181" s="5" t="inlineStr">
        <is>
          <t>BD - RD STATION - AC DISPLAY</t>
        </is>
      </c>
      <c r="E181" s="5" t="inlineStr">
        <is>
          <t>rd-station-5RPi</t>
        </is>
      </c>
      <c r="F181" s="5" t="inlineStr">
        <is>
          <t>1 Funcional — dado ativo</t>
        </is>
      </c>
      <c r="G181" s="5" t="n">
        <v>477</v>
      </c>
      <c r="H181" s="5" t="inlineStr">
        <is>
          <t>2026-10-20</t>
        </is>
      </c>
      <c r="I181" s="5" t="n">
        <v>252</v>
      </c>
      <c r="J181" s="5" t="n"/>
      <c r="K181" s="5" t="n"/>
      <c r="L181" s="5" t="inlineStr"/>
      <c r="M181" s="5" t="inlineStr">
        <is>
          <t>ultimo evento</t>
        </is>
      </c>
      <c r="N181" s="5" t="inlineStr"/>
      <c r="O181" s="5" t="inlineStr">
        <is>
          <t>—</t>
        </is>
      </c>
      <c r="P181" s="5" t="inlineStr"/>
      <c r="Q181" s="5" t="inlineStr">
        <is>
          <t>ja na Trusted</t>
        </is>
      </c>
      <c r="R181" s="5" t="inlineStr"/>
      <c r="S181" s="5" t="inlineStr">
        <is>
          <t>208 contatos · 233 conversões · grão mínimo: só id. e-mail e última conversão · carga 13/10</t>
        </is>
      </c>
    </row>
    <row r="182">
      <c r="A182" s="5" t="inlineStr">
        <is>
          <t>RD Station</t>
        </is>
      </c>
      <c r="B182" s="5" t="inlineStr">
        <is>
          <t>ACESSO SAÚDE MANAUS</t>
        </is>
      </c>
      <c r="C182" s="5" t="inlineStr">
        <is>
          <t>—</t>
        </is>
      </c>
      <c r="D182" s="5" t="inlineStr">
        <is>
          <t>BD - RD STATION - ACESSO SAÚDE MANAUS</t>
        </is>
      </c>
      <c r="E182" s="5" t="inlineStr">
        <is>
          <t>rd-station-Awhd</t>
        </is>
      </c>
      <c r="F182" s="5" t="inlineStr">
        <is>
          <t>1 Funcional — dado ativo</t>
        </is>
      </c>
      <c r="G182" s="5" t="n">
        <v>2123</v>
      </c>
      <c r="H182" s="5" t="inlineStr">
        <is>
          <t>2026-10-20</t>
        </is>
      </c>
      <c r="I182" s="5" t="n">
        <v>1278</v>
      </c>
      <c r="J182" s="5" t="n"/>
      <c r="K182" s="5" t="n"/>
      <c r="L182" s="5" t="inlineStr"/>
      <c r="M182" s="5" t="inlineStr">
        <is>
          <t>ultimo evento</t>
        </is>
      </c>
      <c r="N182" s="5" t="inlineStr"/>
      <c r="O182" s="5" t="inlineStr">
        <is>
          <t>—</t>
        </is>
      </c>
      <c r="P182" s="5" t="inlineStr"/>
      <c r="Q182" s="5" t="inlineStr">
        <is>
          <t>ja na Trusted</t>
        </is>
      </c>
      <c r="R182" s="5" t="inlineStr"/>
      <c r="S182" s="5" t="inlineStr">
        <is>
          <t>731 contatos · 1.126 conversões · grão mínimo: só id. e-mail e última conversão · carga 13/10</t>
        </is>
      </c>
    </row>
    <row r="183">
      <c r="A183" s="5" t="inlineStr">
        <is>
          <t>RD Station</t>
        </is>
      </c>
      <c r="B183" s="5" t="inlineStr">
        <is>
          <t>AMAZONCOPY</t>
        </is>
      </c>
      <c r="C183" s="5" t="inlineStr">
        <is>
          <t>—</t>
        </is>
      </c>
      <c r="D183" s="5" t="inlineStr">
        <is>
          <t>BD - RD STATION - AMAZONCOPY</t>
        </is>
      </c>
      <c r="E183" s="5" t="inlineStr">
        <is>
          <t>rd-station-9mbj</t>
        </is>
      </c>
      <c r="F183" s="5" t="inlineStr">
        <is>
          <t>1 Funcional — dado ativo</t>
        </is>
      </c>
      <c r="G183" s="5" t="n">
        <v>1090</v>
      </c>
      <c r="H183" s="5" t="inlineStr">
        <is>
          <t>2026-10-18</t>
        </is>
      </c>
      <c r="I183" s="5" t="n">
        <v>566</v>
      </c>
      <c r="J183" s="5" t="n"/>
      <c r="K183" s="5" t="n"/>
      <c r="L183" s="5" t="inlineStr"/>
      <c r="M183" s="5" t="inlineStr">
        <is>
          <t>ultimo evento</t>
        </is>
      </c>
      <c r="N183" s="5" t="inlineStr"/>
      <c r="O183" s="5" t="inlineStr">
        <is>
          <t>—</t>
        </is>
      </c>
      <c r="P183" s="5" t="inlineStr"/>
      <c r="Q183" s="5" t="inlineStr">
        <is>
          <t>ja na Trusted</t>
        </is>
      </c>
      <c r="R183" s="5" t="inlineStr"/>
      <c r="S183" s="5" t="inlineStr">
        <is>
          <t>480 contatos · 518 conversões · grão mínimo: só id. e-mail e última conversão · carga 13/10</t>
        </is>
      </c>
    </row>
    <row r="184">
      <c r="A184" s="5" t="inlineStr">
        <is>
          <t>RD Station</t>
        </is>
      </c>
      <c r="B184" s="5" t="inlineStr">
        <is>
          <t>AMZ GERADORES</t>
        </is>
      </c>
      <c r="C184" s="5" t="inlineStr">
        <is>
          <t>—</t>
        </is>
      </c>
      <c r="D184" s="5" t="inlineStr">
        <is>
          <t>BD - RD STATION - AMZ GERADORES</t>
        </is>
      </c>
      <c r="E184" s="5" t="inlineStr">
        <is>
          <t>rd-station-CSrx</t>
        </is>
      </c>
      <c r="F184" s="5" t="inlineStr">
        <is>
          <t>1 Funcional — dado ativo</t>
        </is>
      </c>
      <c r="G184" s="5" t="n">
        <v>632</v>
      </c>
      <c r="H184" s="5" t="inlineStr">
        <is>
          <t>2026-10-18</t>
        </is>
      </c>
      <c r="I184" s="5" t="n">
        <v>457</v>
      </c>
      <c r="J184" s="5" t="n"/>
      <c r="K184" s="5" t="n"/>
      <c r="L184" s="5" t="inlineStr"/>
      <c r="M184" s="5" t="inlineStr">
        <is>
          <t>ultimo evento</t>
        </is>
      </c>
      <c r="N184" s="5" t="inlineStr"/>
      <c r="O184" s="5" t="inlineStr">
        <is>
          <t>—</t>
        </is>
      </c>
      <c r="P184" s="5" t="inlineStr"/>
      <c r="Q184" s="5" t="inlineStr">
        <is>
          <t>ja na Trusted</t>
        </is>
      </c>
      <c r="R184" s="5" t="inlineStr"/>
      <c r="S184" s="5" t="inlineStr">
        <is>
          <t>170 contatos · 432 conversões · grão completo (cadastro com detalhe) · carga 13/10</t>
        </is>
      </c>
    </row>
    <row r="185">
      <c r="A185" s="5" t="inlineStr">
        <is>
          <t>RD Station</t>
        </is>
      </c>
      <c r="B185" s="5" t="inlineStr">
        <is>
          <t>ARENA TINTAS</t>
        </is>
      </c>
      <c r="C185" s="5" t="inlineStr">
        <is>
          <t>—</t>
        </is>
      </c>
      <c r="D185" s="5" t="inlineStr">
        <is>
          <t>(sem fonte)</t>
        </is>
      </c>
      <c r="E185" s="5" t="inlineStr">
        <is>
          <t>rd-station-5KKM</t>
        </is>
      </c>
      <c r="F185" s="5" t="inlineStr">
        <is>
          <t>1 Funcional — dado ativo</t>
        </is>
      </c>
      <c r="G185" s="5" t="n">
        <v>5920</v>
      </c>
      <c r="H185" s="5" t="inlineStr">
        <is>
          <t>2026-10-19</t>
        </is>
      </c>
      <c r="I185" s="5" t="n">
        <v>3411</v>
      </c>
      <c r="J185" s="5" t="n"/>
      <c r="K185" s="5" t="n"/>
      <c r="L185" s="5" t="inlineStr"/>
      <c r="M185" s="5" t="inlineStr">
        <is>
          <t>ultimo evento</t>
        </is>
      </c>
      <c r="N185" s="5" t="inlineStr"/>
      <c r="O185" s="5" t="inlineStr">
        <is>
          <t>Nekt (Jussara)</t>
        </is>
      </c>
      <c r="P185" s="5" t="inlineStr"/>
      <c r="Q185" s="5" t="inlineStr">
        <is>
          <t>E3 somar as Trusted de RD</t>
        </is>
      </c>
      <c r="R185" s="5" t="inlineStr">
        <is>
          <t>2026-10-21</t>
        </is>
      </c>
      <c r="S185" s="5" t="inlineStr"/>
    </row>
    <row r="186">
      <c r="A186" s="5" t="inlineStr">
        <is>
          <t>RD Station</t>
        </is>
      </c>
      <c r="B186" s="5" t="inlineStr">
        <is>
          <t>BA ELÉTRICA</t>
        </is>
      </c>
      <c r="C186" s="5" t="inlineStr">
        <is>
          <t>—</t>
        </is>
      </c>
      <c r="D186" s="5" t="inlineStr">
        <is>
          <t>BD - RD STATION - BA ELÉTRICA</t>
        </is>
      </c>
      <c r="E186" s="5" t="inlineStr">
        <is>
          <t>rd-station-MzyH</t>
        </is>
      </c>
      <c r="F186" s="5" t="inlineStr">
        <is>
          <t>1 Funcional — dado ativo</t>
        </is>
      </c>
      <c r="G186" s="5" t="n">
        <v>374</v>
      </c>
      <c r="H186" s="5" t="inlineStr">
        <is>
          <t>2026-10-16</t>
        </is>
      </c>
      <c r="I186" s="5" t="n">
        <v>248</v>
      </c>
      <c r="J186" s="5" t="n"/>
      <c r="K186" s="5" t="n"/>
      <c r="L186" s="5" t="inlineStr"/>
      <c r="M186" s="5" t="inlineStr">
        <is>
          <t>ultimo evento</t>
        </is>
      </c>
      <c r="N186" s="5" t="inlineStr"/>
      <c r="O186" s="5" t="inlineStr">
        <is>
          <t>—</t>
        </is>
      </c>
      <c r="P186" s="5" t="inlineStr"/>
      <c r="Q186" s="5" t="inlineStr">
        <is>
          <t>ja na Trusted</t>
        </is>
      </c>
      <c r="R186" s="5" t="inlineStr"/>
      <c r="S186" s="5" t="inlineStr">
        <is>
          <t>125 contatos · 247 conversões · grão mínimo: só id. e-mail e última conversão · carga 13/10</t>
        </is>
      </c>
    </row>
    <row r="187">
      <c r="A187" s="5" t="inlineStr">
        <is>
          <t>RD Station</t>
        </is>
      </c>
      <c r="B187" s="5" t="inlineStr">
        <is>
          <t>BAP</t>
        </is>
      </c>
      <c r="C187" s="5" t="inlineStr">
        <is>
          <t>—</t>
        </is>
      </c>
      <c r="D187" s="5" t="inlineStr">
        <is>
          <t>(sem fonte)</t>
        </is>
      </c>
      <c r="E187" s="5" t="inlineStr">
        <is>
          <t>rd-station-YNpj</t>
        </is>
      </c>
      <c r="F187" s="5" t="inlineStr">
        <is>
          <t>1 Funcional — dado ativo</t>
        </is>
      </c>
      <c r="G187" s="5" t="n">
        <v>1075</v>
      </c>
      <c r="H187" s="5" t="inlineStr">
        <is>
          <t>2026-09-22</t>
        </is>
      </c>
      <c r="I187" s="5" t="n">
        <v>549</v>
      </c>
      <c r="J187" s="5" t="n"/>
      <c r="K187" s="5" t="n"/>
      <c r="L187" s="5" t="inlineStr"/>
      <c r="M187" s="5" t="inlineStr">
        <is>
          <t>ultimo evento</t>
        </is>
      </c>
      <c r="N187" s="5" t="inlineStr"/>
      <c r="O187" s="5" t="inlineStr">
        <is>
          <t>Nekt (Jussara)</t>
        </is>
      </c>
      <c r="P187" s="5" t="inlineStr"/>
      <c r="Q187" s="5" t="inlineStr">
        <is>
          <t>E3 somar as Trusted de RD</t>
        </is>
      </c>
      <c r="R187" s="5" t="inlineStr">
        <is>
          <t>2026-10-21</t>
        </is>
      </c>
      <c r="S187" s="5" t="inlineStr"/>
    </row>
    <row r="188">
      <c r="A188" s="5" t="inlineStr">
        <is>
          <t>RD Station</t>
        </is>
      </c>
      <c r="B188" s="5" t="inlineStr">
        <is>
          <t>BEST CAR</t>
        </is>
      </c>
      <c r="C188" s="5" t="inlineStr">
        <is>
          <t>—</t>
        </is>
      </c>
      <c r="D188" s="5" t="inlineStr">
        <is>
          <t>BD - RD STATION - BEST CAR</t>
        </is>
      </c>
      <c r="E188" s="5" t="inlineStr">
        <is>
          <t>rd-station-pG4G</t>
        </is>
      </c>
      <c r="F188" s="5" t="inlineStr">
        <is>
          <t>1 Funcional — dado ativo</t>
        </is>
      </c>
      <c r="G188" s="5" t="n">
        <v>11698</v>
      </c>
      <c r="H188" s="5" t="inlineStr">
        <is>
          <t>2026-10-19</t>
        </is>
      </c>
      <c r="I188" s="5" t="n">
        <v>5858</v>
      </c>
      <c r="J188" s="5" t="n"/>
      <c r="K188" s="5" t="n"/>
      <c r="L188" s="5" t="inlineStr"/>
      <c r="M188" s="5" t="inlineStr">
        <is>
          <t>ultimo evento</t>
        </is>
      </c>
      <c r="N188" s="5" t="inlineStr"/>
      <c r="O188" s="5" t="inlineStr">
        <is>
          <t>—</t>
        </is>
      </c>
      <c r="P188" s="5" t="inlineStr"/>
      <c r="Q188" s="5" t="inlineStr">
        <is>
          <t>ja na Trusted</t>
        </is>
      </c>
      <c r="R188" s="5" t="inlineStr"/>
      <c r="S188" s="5" t="inlineStr">
        <is>
          <t>5.824 contatos · 5.837 conversões · grão completo (cadastro com detalhe) · carga 13/10</t>
        </is>
      </c>
    </row>
    <row r="189">
      <c r="A189" s="5" t="inlineStr">
        <is>
          <t>RD Station</t>
        </is>
      </c>
      <c r="B189" s="5" t="inlineStr">
        <is>
          <t>BIGAZINE MANAUS</t>
        </is>
      </c>
      <c r="C189" s="5" t="inlineStr">
        <is>
          <t>—</t>
        </is>
      </c>
      <c r="D189" s="5" t="inlineStr">
        <is>
          <t>BD - RD STATION - BIGAZINE MANAUS</t>
        </is>
      </c>
      <c r="E189" s="5" t="inlineStr">
        <is>
          <t>rd-station-urW3</t>
        </is>
      </c>
      <c r="F189" s="5" t="inlineStr">
        <is>
          <t>1 Funcional — dado ativo</t>
        </is>
      </c>
      <c r="G189" s="5" t="n">
        <v>6815</v>
      </c>
      <c r="H189" s="5" t="inlineStr">
        <is>
          <t>2026-10-20</t>
        </is>
      </c>
      <c r="I189" s="5" t="n">
        <v>3107</v>
      </c>
      <c r="J189" s="5" t="n"/>
      <c r="K189" s="5" t="n"/>
      <c r="L189" s="5" t="inlineStr"/>
      <c r="M189" s="5" t="inlineStr">
        <is>
          <t>ultimo evento</t>
        </is>
      </c>
      <c r="N189" s="5" t="inlineStr"/>
      <c r="O189" s="5" t="inlineStr">
        <is>
          <t>—</t>
        </is>
      </c>
      <c r="P189" s="5" t="inlineStr"/>
      <c r="Q189" s="5" t="inlineStr">
        <is>
          <t>ja na Trusted</t>
        </is>
      </c>
      <c r="R189" s="5" t="inlineStr"/>
      <c r="S189" s="5" t="inlineStr">
        <is>
          <t>3.558 contatos · 2.963 conversões · grão mínimo: só id. e-mail e última conversão · carga 13/10</t>
        </is>
      </c>
    </row>
    <row r="190">
      <c r="A190" s="5" t="inlineStr">
        <is>
          <t>RD Station</t>
        </is>
      </c>
      <c r="B190" s="5" t="inlineStr">
        <is>
          <t>BRAGA ACESSÓRIOS</t>
        </is>
      </c>
      <c r="C190" s="5" t="inlineStr">
        <is>
          <t>—</t>
        </is>
      </c>
      <c r="D190" s="5" t="inlineStr">
        <is>
          <t>BD - RD STATION - BRAGA ACESSÓRIOS</t>
        </is>
      </c>
      <c r="E190" s="5" t="inlineStr">
        <is>
          <t>rd-station-8Fqy</t>
        </is>
      </c>
      <c r="F190" s="5" t="inlineStr">
        <is>
          <t>1 Funcional — dado ativo</t>
        </is>
      </c>
      <c r="G190" s="5" t="n">
        <v>400</v>
      </c>
      <c r="H190" s="5" t="inlineStr">
        <is>
          <t>2026-10-18</t>
        </is>
      </c>
      <c r="I190" s="5" t="n">
        <v>208</v>
      </c>
      <c r="J190" s="5" t="n"/>
      <c r="K190" s="5" t="n"/>
      <c r="L190" s="5" t="inlineStr"/>
      <c r="M190" s="5" t="inlineStr">
        <is>
          <t>ultimo evento</t>
        </is>
      </c>
      <c r="N190" s="5" t="inlineStr"/>
      <c r="O190" s="5" t="inlineStr">
        <is>
          <t>—</t>
        </is>
      </c>
      <c r="P190" s="5" t="inlineStr"/>
      <c r="Q190" s="5" t="inlineStr">
        <is>
          <t>ja na Trusted</t>
        </is>
      </c>
      <c r="R190" s="5" t="inlineStr"/>
      <c r="S190" s="5" t="inlineStr">
        <is>
          <t>186 contatos · 201 conversões · grão mínimo: só id. e-mail e última conversão · carga 13/10</t>
        </is>
      </c>
    </row>
    <row r="191">
      <c r="A191" s="5" t="inlineStr">
        <is>
          <t>RD Station</t>
        </is>
      </c>
      <c r="B191" s="5" t="inlineStr">
        <is>
          <t>BRAGA MOTORS</t>
        </is>
      </c>
      <c r="C191" s="5" t="inlineStr">
        <is>
          <t>—</t>
        </is>
      </c>
      <c r="D191" s="5" t="inlineStr">
        <is>
          <t>BD - RD STATION - BRAGA MOTORS</t>
        </is>
      </c>
      <c r="E191" s="5" t="inlineStr">
        <is>
          <t>rd-station-idF7</t>
        </is>
      </c>
      <c r="F191" s="5" t="inlineStr">
        <is>
          <t>1 Funcional — dado ativo</t>
        </is>
      </c>
      <c r="G191" s="5" t="n">
        <v>656</v>
      </c>
      <c r="H191" s="5" t="inlineStr">
        <is>
          <t>2026-10-13</t>
        </is>
      </c>
      <c r="I191" s="5" t="n">
        <v>400</v>
      </c>
      <c r="J191" s="5" t="n"/>
      <c r="K191" s="5" t="n"/>
      <c r="L191" s="5" t="inlineStr"/>
      <c r="M191" s="5" t="inlineStr">
        <is>
          <t>ultimo evento</t>
        </is>
      </c>
      <c r="N191" s="5" t="inlineStr"/>
      <c r="O191" s="5" t="inlineStr">
        <is>
          <t>—</t>
        </is>
      </c>
      <c r="P191" s="5" t="inlineStr"/>
      <c r="Q191" s="5" t="inlineStr">
        <is>
          <t>ja na Trusted</t>
        </is>
      </c>
      <c r="R191" s="5" t="inlineStr"/>
      <c r="S191" s="5" t="inlineStr">
        <is>
          <t>255 contatos · 399 conversões · grão mínimo: só id. e-mail e última conversão · carga 13/10</t>
        </is>
      </c>
    </row>
    <row r="192">
      <c r="A192" s="5" t="inlineStr">
        <is>
          <t>RD Station</t>
        </is>
      </c>
      <c r="B192" s="5" t="inlineStr">
        <is>
          <t>BRAGA MOTOS - YAMAHA - PÓS VENDAS</t>
        </is>
      </c>
      <c r="C192" s="5" t="inlineStr">
        <is>
          <t>—</t>
        </is>
      </c>
      <c r="D192" s="5" t="inlineStr">
        <is>
          <t>(sem fonte)</t>
        </is>
      </c>
      <c r="E192" s="5" t="inlineStr">
        <is>
          <t>rd-station-rlmE</t>
        </is>
      </c>
      <c r="F192" s="5" t="inlineStr">
        <is>
          <t>1 Funcional — dado ativo</t>
        </is>
      </c>
      <c r="G192" s="5" t="n">
        <v>353</v>
      </c>
      <c r="H192" s="5" t="inlineStr">
        <is>
          <t>2026-10-18</t>
        </is>
      </c>
      <c r="I192" s="5" t="n">
        <v>203</v>
      </c>
      <c r="J192" s="5" t="n"/>
      <c r="K192" s="5" t="n"/>
      <c r="L192" s="5" t="inlineStr"/>
      <c r="M192" s="5" t="inlineStr">
        <is>
          <t>ultimo evento</t>
        </is>
      </c>
      <c r="N192" s="5" t="inlineStr"/>
      <c r="O192" s="5" t="inlineStr">
        <is>
          <t>Nekt (Jussara)</t>
        </is>
      </c>
      <c r="P192" s="5" t="inlineStr"/>
      <c r="Q192" s="5" t="inlineStr">
        <is>
          <t>E3 somar as Trusted de RD</t>
        </is>
      </c>
      <c r="R192" s="5" t="inlineStr">
        <is>
          <t>2026-10-21</t>
        </is>
      </c>
      <c r="S192" s="5" t="inlineStr">
        <is>
          <t>cliente sem fonte ligada a ele; aguardar validação de cobertura</t>
        </is>
      </c>
    </row>
    <row r="193">
      <c r="A193" s="5" t="inlineStr">
        <is>
          <t>RD Station</t>
        </is>
      </c>
      <c r="B193" s="5" t="inlineStr">
        <is>
          <t>BRAGA VEÍCULOS (a validar)</t>
        </is>
      </c>
      <c r="C193" s="5" t="inlineStr">
        <is>
          <t>—</t>
        </is>
      </c>
      <c r="D193" s="5" t="inlineStr">
        <is>
          <t>BD - RD STATION - BRAGA VEICULOS</t>
        </is>
      </c>
      <c r="E193" s="5" t="inlineStr">
        <is>
          <t>rd-station-WHAa</t>
        </is>
      </c>
      <c r="F193" s="5" t="inlineStr">
        <is>
          <t>1 Funcional — dado ativo</t>
        </is>
      </c>
      <c r="G193" s="5" t="n">
        <v>844</v>
      </c>
      <c r="H193" s="5" t="inlineStr">
        <is>
          <t>2026-10-19</t>
        </is>
      </c>
      <c r="I193" s="5" t="n">
        <v>511</v>
      </c>
      <c r="J193" s="5" t="n"/>
      <c r="K193" s="5" t="n"/>
      <c r="L193" s="5" t="inlineStr"/>
      <c r="M193" s="5" t="inlineStr">
        <is>
          <t>ultimo evento</t>
        </is>
      </c>
      <c r="N193" s="5" t="inlineStr"/>
      <c r="O193" s="5" t="inlineStr">
        <is>
          <t>AM do cliente / Jussara</t>
        </is>
      </c>
      <c r="P193" s="5" t="inlineStr"/>
      <c r="Q193" s="5" t="inlineStr">
        <is>
          <t>ja na Trusted</t>
        </is>
      </c>
      <c r="R193" s="5" t="inlineStr"/>
      <c r="S193" s="5" t="inlineStr">
        <is>
          <t>311 contatos · 482 conversões · grão completo (cadastro com detalhe) · carga 13/10</t>
        </is>
      </c>
    </row>
    <row r="194">
      <c r="A194" s="5" t="inlineStr">
        <is>
          <t>RD Station</t>
        </is>
      </c>
      <c r="B194" s="5" t="inlineStr">
        <is>
          <t>BRAGA VEÍCULOS - VENDA DIRETA</t>
        </is>
      </c>
      <c r="C194" s="5" t="inlineStr">
        <is>
          <t>—</t>
        </is>
      </c>
      <c r="D194" s="5" t="inlineStr">
        <is>
          <t>(sem fonte)</t>
        </is>
      </c>
      <c r="E194" s="5" t="inlineStr">
        <is>
          <t>rd-station-IOQX</t>
        </is>
      </c>
      <c r="F194" s="5" t="inlineStr">
        <is>
          <t>1 Funcional — dado ativo</t>
        </is>
      </c>
      <c r="G194" s="5" t="n">
        <v>368</v>
      </c>
      <c r="H194" s="5" t="inlineStr">
        <is>
          <t>2026-10-19</t>
        </is>
      </c>
      <c r="I194" s="5" t="n">
        <v>226</v>
      </c>
      <c r="J194" s="5" t="n"/>
      <c r="K194" s="5" t="n"/>
      <c r="L194" s="5" t="inlineStr"/>
      <c r="M194" s="5" t="inlineStr">
        <is>
          <t>ultimo evento</t>
        </is>
      </c>
      <c r="N194" s="5" t="inlineStr"/>
      <c r="O194" s="5" t="inlineStr">
        <is>
          <t>Nekt (Jussara)</t>
        </is>
      </c>
      <c r="P194" s="5" t="inlineStr"/>
      <c r="Q194" s="5" t="inlineStr">
        <is>
          <t>E3 somar as Trusted de RD</t>
        </is>
      </c>
      <c r="R194" s="5" t="inlineStr">
        <is>
          <t>2026-10-21</t>
        </is>
      </c>
      <c r="S194" s="5" t="inlineStr">
        <is>
          <t>cliente sem fonte ligada a ele; aguardar validação de cobertura</t>
        </is>
      </c>
    </row>
    <row r="195">
      <c r="A195" s="5" t="inlineStr">
        <is>
          <t>RD Station</t>
        </is>
      </c>
      <c r="B195" s="5" t="inlineStr">
        <is>
          <t>BRAGA VEÍCULOS VAREJO</t>
        </is>
      </c>
      <c r="C195" s="5" t="inlineStr">
        <is>
          <t>—</t>
        </is>
      </c>
      <c r="D195" s="5" t="inlineStr">
        <is>
          <t>(sem fonte)</t>
        </is>
      </c>
      <c r="E195" s="5" t="inlineStr">
        <is>
          <t>rd-station-6Ir5</t>
        </is>
      </c>
      <c r="F195" s="5" t="inlineStr">
        <is>
          <t>1 Funcional — dado ativo</t>
        </is>
      </c>
      <c r="G195" s="5" t="n">
        <v>56541</v>
      </c>
      <c r="H195" s="5" t="inlineStr">
        <is>
          <t>2026-10-19</t>
        </is>
      </c>
      <c r="I195" s="5" t="n">
        <v>32160</v>
      </c>
      <c r="J195" s="5" t="n"/>
      <c r="K195" s="5" t="n"/>
      <c r="L195" s="5" t="inlineStr"/>
      <c r="M195" s="5" t="inlineStr">
        <is>
          <t>ultimo evento</t>
        </is>
      </c>
      <c r="N195" s="5" t="inlineStr"/>
      <c r="O195" s="5" t="inlineStr">
        <is>
          <t>Nekt (Jussara)</t>
        </is>
      </c>
      <c r="P195" s="5" t="inlineStr"/>
      <c r="Q195" s="5" t="inlineStr">
        <is>
          <t>E3 somar as Trusted de RD</t>
        </is>
      </c>
      <c r="R195" s="5" t="inlineStr">
        <is>
          <t>2026-10-21</t>
        </is>
      </c>
      <c r="S195" s="5" t="inlineStr">
        <is>
          <t>cliente sem fonte ligada a ele; aguardar validação de cobertura</t>
        </is>
      </c>
    </row>
    <row r="196">
      <c r="A196" s="5" t="inlineStr">
        <is>
          <t>RD Station</t>
        </is>
      </c>
      <c r="B196" s="5" t="inlineStr">
        <is>
          <t>CAA ALUMÍNIO</t>
        </is>
      </c>
      <c r="C196" s="5" t="inlineStr">
        <is>
          <t>—</t>
        </is>
      </c>
      <c r="D196" s="5" t="inlineStr">
        <is>
          <t>(sem fonte)</t>
        </is>
      </c>
      <c r="E196" s="5" t="inlineStr">
        <is>
          <t>rd-station-POZB</t>
        </is>
      </c>
      <c r="F196" s="5" t="inlineStr">
        <is>
          <t>1 Funcional — dado ativo</t>
        </is>
      </c>
      <c r="G196" s="5" t="n">
        <v>4822</v>
      </c>
      <c r="H196" s="5" t="inlineStr">
        <is>
          <t>2026-10-19</t>
        </is>
      </c>
      <c r="I196" s="5" t="n">
        <v>2696</v>
      </c>
      <c r="J196" s="5" t="n"/>
      <c r="K196" s="5" t="n"/>
      <c r="L196" s="5" t="inlineStr"/>
      <c r="M196" s="5" t="inlineStr">
        <is>
          <t>ultimo evento</t>
        </is>
      </c>
      <c r="N196" s="5" t="inlineStr"/>
      <c r="O196" s="5" t="inlineStr">
        <is>
          <t>Nekt (Jussara)</t>
        </is>
      </c>
      <c r="P196" s="5" t="inlineStr"/>
      <c r="Q196" s="5" t="inlineStr">
        <is>
          <t>E3 somar as Trusted de RD</t>
        </is>
      </c>
      <c r="R196" s="5" t="inlineStr">
        <is>
          <t>2026-10-21</t>
        </is>
      </c>
      <c r="S196" s="5" t="inlineStr"/>
    </row>
    <row r="197">
      <c r="A197" s="5" t="inlineStr">
        <is>
          <t>RD Station</t>
        </is>
      </c>
      <c r="B197" s="5" t="inlineStr">
        <is>
          <t>CAA TINTAS</t>
        </is>
      </c>
      <c r="C197" s="5" t="inlineStr">
        <is>
          <t>—</t>
        </is>
      </c>
      <c r="D197" s="5" t="inlineStr">
        <is>
          <t>(sem fonte)</t>
        </is>
      </c>
      <c r="E197" s="5" t="inlineStr">
        <is>
          <t>rd-station-irou</t>
        </is>
      </c>
      <c r="F197" s="5" t="inlineStr">
        <is>
          <t>1 Funcional — dado ativo</t>
        </is>
      </c>
      <c r="G197" s="5" t="n">
        <v>4822</v>
      </c>
      <c r="H197" s="5" t="inlineStr">
        <is>
          <t>2026-10-19</t>
        </is>
      </c>
      <c r="I197" s="5" t="n">
        <v>2696</v>
      </c>
      <c r="J197" s="5" t="n"/>
      <c r="K197" s="5" t="n"/>
      <c r="L197" s="5" t="inlineStr"/>
      <c r="M197" s="5" t="inlineStr">
        <is>
          <t>ultimo evento</t>
        </is>
      </c>
      <c r="N197" s="5" t="inlineStr"/>
      <c r="O197" s="5" t="inlineStr">
        <is>
          <t>Nekt (Jussara)</t>
        </is>
      </c>
      <c r="P197" s="5" t="inlineStr"/>
      <c r="Q197" s="5" t="inlineStr">
        <is>
          <t>E3 somar as Trusted de RD</t>
        </is>
      </c>
      <c r="R197" s="5" t="inlineStr">
        <is>
          <t>2026-10-21</t>
        </is>
      </c>
      <c r="S197" s="5" t="inlineStr"/>
    </row>
    <row r="198">
      <c r="A198" s="5" t="inlineStr">
        <is>
          <t>RD Station</t>
        </is>
      </c>
      <c r="B198" s="5" t="inlineStr">
        <is>
          <t>CHARÃO</t>
        </is>
      </c>
      <c r="C198" s="5" t="inlineStr">
        <is>
          <t>—</t>
        </is>
      </c>
      <c r="D198" s="5" t="inlineStr">
        <is>
          <t>(sem fonte)</t>
        </is>
      </c>
      <c r="E198" s="5" t="inlineStr">
        <is>
          <t>rd-station-QcKP</t>
        </is>
      </c>
      <c r="F198" s="5" t="inlineStr">
        <is>
          <t>1 Funcional — dado ativo</t>
        </is>
      </c>
      <c r="G198" s="5" t="n">
        <v>13</v>
      </c>
      <c r="H198" s="5" t="inlineStr">
        <is>
          <t>2026-10-15</t>
        </is>
      </c>
      <c r="I198" s="5" t="n">
        <v>7</v>
      </c>
      <c r="J198" s="5" t="n"/>
      <c r="K198" s="5" t="n"/>
      <c r="L198" s="5" t="inlineStr"/>
      <c r="M198" s="5" t="inlineStr">
        <is>
          <t>ultimo evento</t>
        </is>
      </c>
      <c r="N198" s="5" t="inlineStr"/>
      <c r="O198" s="5" t="inlineStr">
        <is>
          <t>Nekt (Jussara)</t>
        </is>
      </c>
      <c r="P198" s="5" t="inlineStr"/>
      <c r="Q198" s="5" t="inlineStr">
        <is>
          <t>E3 somar as Trusted de RD</t>
        </is>
      </c>
      <c r="R198" s="5" t="inlineStr">
        <is>
          <t>2026-10-21</t>
        </is>
      </c>
      <c r="S198" s="5" t="inlineStr"/>
    </row>
    <row r="199">
      <c r="A199" s="5" t="inlineStr">
        <is>
          <t>RD Station</t>
        </is>
      </c>
      <c r="B199" s="5" t="inlineStr">
        <is>
          <t>COMAC</t>
        </is>
      </c>
      <c r="C199" s="5" t="inlineStr">
        <is>
          <t>—</t>
        </is>
      </c>
      <c r="D199" s="5" t="inlineStr">
        <is>
          <t>BD - RD STATION - COMAC</t>
        </is>
      </c>
      <c r="E199" s="5" t="inlineStr">
        <is>
          <t>rd-station-uOAA</t>
        </is>
      </c>
      <c r="F199" s="5" t="inlineStr">
        <is>
          <t>1 Funcional — dado ativo</t>
        </is>
      </c>
      <c r="G199" s="5" t="n">
        <v>309</v>
      </c>
      <c r="H199" s="5" t="inlineStr">
        <is>
          <t>2026-10-19</t>
        </is>
      </c>
      <c r="I199" s="5" t="n">
        <v>97</v>
      </c>
      <c r="J199" s="5" t="n"/>
      <c r="K199" s="5" t="n"/>
      <c r="L199" s="5" t="inlineStr"/>
      <c r="M199" s="5" t="inlineStr">
        <is>
          <t>ultimo evento</t>
        </is>
      </c>
      <c r="N199" s="5" t="inlineStr"/>
      <c r="O199" s="5" t="inlineStr">
        <is>
          <t>—</t>
        </is>
      </c>
      <c r="P199" s="5" t="inlineStr"/>
      <c r="Q199" s="5" t="inlineStr">
        <is>
          <t>ja na Trusted</t>
        </is>
      </c>
      <c r="R199" s="5" t="inlineStr"/>
      <c r="S199" s="5" t="inlineStr">
        <is>
          <t>187 contatos · 70 conversões · grão mínimo: só id. e-mail e última conversão · carga 13/10</t>
        </is>
      </c>
    </row>
    <row r="200">
      <c r="A200" s="5" t="inlineStr">
        <is>
          <t>RD Station</t>
        </is>
      </c>
      <c r="B200" s="5" t="inlineStr">
        <is>
          <t>CONSTROI INCORPORADORA</t>
        </is>
      </c>
      <c r="C200" s="5" t="inlineStr">
        <is>
          <t>—</t>
        </is>
      </c>
      <c r="D200" s="5" t="inlineStr">
        <is>
          <t>(sem fonte)</t>
        </is>
      </c>
      <c r="E200" s="5" t="inlineStr">
        <is>
          <t>rd-station-c9jU</t>
        </is>
      </c>
      <c r="F200" s="5" t="inlineStr">
        <is>
          <t>1 Funcional — dado ativo</t>
        </is>
      </c>
      <c r="G200" s="5" t="n">
        <v>7055</v>
      </c>
      <c r="H200" s="5" t="inlineStr">
        <is>
          <t>2026-10-18</t>
        </is>
      </c>
      <c r="I200" s="5" t="n">
        <v>2692</v>
      </c>
      <c r="J200" s="5" t="n"/>
      <c r="K200" s="5" t="n"/>
      <c r="L200" s="5" t="inlineStr"/>
      <c r="M200" s="5" t="inlineStr">
        <is>
          <t>ultimo evento</t>
        </is>
      </c>
      <c r="N200" s="5" t="inlineStr"/>
      <c r="O200" s="5" t="inlineStr">
        <is>
          <t>Nekt (Jussara)</t>
        </is>
      </c>
      <c r="P200" s="5" t="inlineStr"/>
      <c r="Q200" s="5" t="inlineStr">
        <is>
          <t>E3 somar as Trusted de RD</t>
        </is>
      </c>
      <c r="R200" s="5" t="inlineStr">
        <is>
          <t>2026-10-21</t>
        </is>
      </c>
      <c r="S200" s="5" t="inlineStr"/>
    </row>
    <row r="201">
      <c r="A201" s="5" t="inlineStr">
        <is>
          <t>RD Station</t>
        </is>
      </c>
      <c r="B201" s="5" t="inlineStr">
        <is>
          <t>CONSTRUTORA COLMEIA</t>
        </is>
      </c>
      <c r="C201" s="5" t="inlineStr">
        <is>
          <t>—</t>
        </is>
      </c>
      <c r="D201" s="5" t="inlineStr">
        <is>
          <t>BD - RD STATION - CONSTRUTORA COLMEIA</t>
        </is>
      </c>
      <c r="E201" s="5" t="inlineStr">
        <is>
          <t>rd-station-VYbu</t>
        </is>
      </c>
      <c r="F201" s="5" t="inlineStr">
        <is>
          <t>1 Funcional — dado ativo</t>
        </is>
      </c>
      <c r="G201" s="5" t="n">
        <v>18928</v>
      </c>
      <c r="H201" s="5" t="inlineStr">
        <is>
          <t>2026-10-20</t>
        </is>
      </c>
      <c r="I201" s="5" t="n">
        <v>15427</v>
      </c>
      <c r="J201" s="5" t="n"/>
      <c r="K201" s="5" t="n"/>
      <c r="L201" s="5" t="inlineStr"/>
      <c r="M201" s="5" t="inlineStr">
        <is>
          <t>ultimo evento</t>
        </is>
      </c>
      <c r="N201" s="5" t="inlineStr"/>
      <c r="O201" s="5" t="inlineStr">
        <is>
          <t>—</t>
        </is>
      </c>
      <c r="P201" s="5" t="inlineStr"/>
      <c r="Q201" s="5" t="inlineStr">
        <is>
          <t>ja na Trusted</t>
        </is>
      </c>
      <c r="R201" s="5" t="inlineStr"/>
      <c r="S201" s="5" t="inlineStr">
        <is>
          <t>3.271 contatos · 14.182 conversões · grão completo (cadastro com detalhe) · carga 13/10</t>
        </is>
      </c>
    </row>
    <row r="202">
      <c r="A202" s="5" t="inlineStr">
        <is>
          <t>RD Station</t>
        </is>
      </c>
      <c r="B202" s="5" t="inlineStr">
        <is>
          <t>DISTRIBUIDORA PNEU FORTE</t>
        </is>
      </c>
      <c r="C202" s="5" t="inlineStr">
        <is>
          <t>—</t>
        </is>
      </c>
      <c r="D202" s="5" t="inlineStr">
        <is>
          <t>(sem fonte)</t>
        </is>
      </c>
      <c r="E202" s="5" t="inlineStr">
        <is>
          <t>rd-station-1boX</t>
        </is>
      </c>
      <c r="F202" s="5" t="inlineStr">
        <is>
          <t>1 Funcional — dado ativo</t>
        </is>
      </c>
      <c r="G202" s="5" t="n">
        <v>7947</v>
      </c>
      <c r="H202" s="5" t="inlineStr">
        <is>
          <t>2026-10-17</t>
        </is>
      </c>
      <c r="I202" s="5" t="n">
        <v>4145</v>
      </c>
      <c r="J202" s="5" t="n"/>
      <c r="K202" s="5" t="n"/>
      <c r="L202" s="5" t="inlineStr"/>
      <c r="M202" s="5" t="inlineStr">
        <is>
          <t>ultimo evento</t>
        </is>
      </c>
      <c r="N202" s="5" t="inlineStr"/>
      <c r="O202" s="5" t="inlineStr">
        <is>
          <t>Nekt (Jussara)</t>
        </is>
      </c>
      <c r="P202" s="5" t="inlineStr"/>
      <c r="Q202" s="5" t="inlineStr">
        <is>
          <t>E3 somar as Trusted de RD</t>
        </is>
      </c>
      <c r="R202" s="5" t="inlineStr">
        <is>
          <t>2026-10-21</t>
        </is>
      </c>
      <c r="S202" s="5" t="inlineStr">
        <is>
          <t>cliente sem fonte ligada a ele; aguardar validação de cobertura</t>
        </is>
      </c>
    </row>
    <row r="203">
      <c r="A203" s="5" t="inlineStr">
        <is>
          <t>RD Station</t>
        </is>
      </c>
      <c r="B203" s="5" t="inlineStr">
        <is>
          <t>DMELLO</t>
        </is>
      </c>
      <c r="C203" s="5" t="inlineStr">
        <is>
          <t>—</t>
        </is>
      </c>
      <c r="D203" s="5" t="inlineStr">
        <is>
          <t>BD - RD STATION - DMELLO</t>
        </is>
      </c>
      <c r="E203" s="5" t="inlineStr">
        <is>
          <t>rd-station-3k4Z</t>
        </is>
      </c>
      <c r="F203" s="5" t="inlineStr">
        <is>
          <t>1 Funcional — dado ativo</t>
        </is>
      </c>
      <c r="G203" s="5" t="n">
        <v>696</v>
      </c>
      <c r="H203" s="5" t="inlineStr">
        <is>
          <t>2026-10-19</t>
        </is>
      </c>
      <c r="I203" s="5" t="n">
        <v>400</v>
      </c>
      <c r="J203" s="5" t="n"/>
      <c r="K203" s="5" t="n"/>
      <c r="L203" s="5" t="inlineStr"/>
      <c r="M203" s="5" t="inlineStr">
        <is>
          <t>ultimo evento</t>
        </is>
      </c>
      <c r="N203" s="5" t="inlineStr"/>
      <c r="O203" s="5" t="inlineStr">
        <is>
          <t>AM do cliente / Jussara</t>
        </is>
      </c>
      <c r="P203" s="5" t="inlineStr"/>
      <c r="Q203" s="5" t="inlineStr">
        <is>
          <t>ja na Trusted</t>
        </is>
      </c>
      <c r="R203" s="5" t="inlineStr"/>
      <c r="S203" s="5" t="inlineStr">
        <is>
          <t>287 contatos · 380 conversões · grão mínimo: só id. e-mail e última conversão · carga 13/10</t>
        </is>
      </c>
    </row>
    <row r="204">
      <c r="A204" s="5" t="inlineStr">
        <is>
          <t>RD Station</t>
        </is>
      </c>
      <c r="B204" s="5" t="inlineStr">
        <is>
          <t>DOCTOR MAIS SAÚDE</t>
        </is>
      </c>
      <c r="C204" s="5" t="inlineStr">
        <is>
          <t>—</t>
        </is>
      </c>
      <c r="D204" s="5" t="inlineStr">
        <is>
          <t>(sem fonte)</t>
        </is>
      </c>
      <c r="E204" s="5" t="inlineStr">
        <is>
          <t>rd-station-Fzvz</t>
        </is>
      </c>
      <c r="F204" s="5" t="inlineStr">
        <is>
          <t>1 Funcional — dado ativo</t>
        </is>
      </c>
      <c r="G204" s="5" t="n">
        <v>4119</v>
      </c>
      <c r="H204" s="5" t="inlineStr">
        <is>
          <t>2026-09-30</t>
        </is>
      </c>
      <c r="I204" s="5" t="n">
        <v>2210</v>
      </c>
      <c r="J204" s="5" t="n"/>
      <c r="K204" s="5" t="n"/>
      <c r="L204" s="5" t="inlineStr"/>
      <c r="M204" s="5" t="inlineStr">
        <is>
          <t>ultimo evento</t>
        </is>
      </c>
      <c r="N204" s="5" t="inlineStr"/>
      <c r="O204" s="5" t="inlineStr">
        <is>
          <t>Nekt (Jussara)</t>
        </is>
      </c>
      <c r="P204" s="5" t="inlineStr"/>
      <c r="Q204" s="5" t="inlineStr">
        <is>
          <t>E3 somar as Trusted de RD</t>
        </is>
      </c>
      <c r="R204" s="5" t="inlineStr">
        <is>
          <t>2026-10-21</t>
        </is>
      </c>
      <c r="S204" s="5" t="inlineStr"/>
    </row>
    <row r="205">
      <c r="A205" s="5" t="inlineStr">
        <is>
          <t>RD Station</t>
        </is>
      </c>
      <c r="B205" s="5" t="inlineStr">
        <is>
          <t>DR. JOSÉ CABRAL JR.</t>
        </is>
      </c>
      <c r="C205" s="5" t="inlineStr">
        <is>
          <t>—</t>
        </is>
      </c>
      <c r="D205" s="5" t="inlineStr">
        <is>
          <t>BD - RD STATION - DR. JOSÉ CABRAL JR.</t>
        </is>
      </c>
      <c r="E205" s="5" t="inlineStr">
        <is>
          <t>rd-station-L2Sl</t>
        </is>
      </c>
      <c r="F205" s="5" t="inlineStr">
        <is>
          <t>1 Funcional — dado ativo</t>
        </is>
      </c>
      <c r="G205" s="5" t="n">
        <v>1177</v>
      </c>
      <c r="H205" s="5" t="inlineStr">
        <is>
          <t>2026-10-20</t>
        </is>
      </c>
      <c r="I205" s="5" t="n">
        <v>666</v>
      </c>
      <c r="J205" s="5" t="n"/>
      <c r="K205" s="5" t="n"/>
      <c r="L205" s="5" t="inlineStr"/>
      <c r="M205" s="5" t="inlineStr">
        <is>
          <t>ultimo evento</t>
        </is>
      </c>
      <c r="N205" s="5" t="inlineStr"/>
      <c r="O205" s="5" t="inlineStr">
        <is>
          <t>—</t>
        </is>
      </c>
      <c r="P205" s="5" t="inlineStr"/>
      <c r="Q205" s="5" t="inlineStr">
        <is>
          <t>ja na Trusted</t>
        </is>
      </c>
      <c r="R205" s="5" t="inlineStr"/>
      <c r="S205" s="5" t="inlineStr">
        <is>
          <t>458 contatos · 582 conversões · grão mínimo: só id. e-mail e última conversão · carga 13/10</t>
        </is>
      </c>
    </row>
    <row r="206">
      <c r="A206" s="5" t="inlineStr">
        <is>
          <t>RD Station</t>
        </is>
      </c>
      <c r="B206" s="5" t="inlineStr">
        <is>
          <t>HAGE ALIMENTOS</t>
        </is>
      </c>
      <c r="C206" s="5" t="inlineStr">
        <is>
          <t>—</t>
        </is>
      </c>
      <c r="D206" s="5" t="inlineStr">
        <is>
          <t>(sem fonte)</t>
        </is>
      </c>
      <c r="E206" s="5" t="inlineStr">
        <is>
          <t>rd-station-fPd4</t>
        </is>
      </c>
      <c r="F206" s="5" t="inlineStr">
        <is>
          <t>1 Funcional — dado ativo</t>
        </is>
      </c>
      <c r="G206" s="5" t="n">
        <v>389</v>
      </c>
      <c r="H206" s="5" t="inlineStr">
        <is>
          <t>2026-10-18</t>
        </is>
      </c>
      <c r="I206" s="5" t="n">
        <v>253</v>
      </c>
      <c r="J206" s="5" t="n"/>
      <c r="K206" s="5" t="n"/>
      <c r="L206" s="5" t="inlineStr"/>
      <c r="M206" s="5" t="inlineStr">
        <is>
          <t>ultimo evento</t>
        </is>
      </c>
      <c r="N206" s="5" t="inlineStr"/>
      <c r="O206" s="5" t="inlineStr">
        <is>
          <t>Nekt (Jussara)</t>
        </is>
      </c>
      <c r="P206" s="5" t="inlineStr"/>
      <c r="Q206" s="5" t="inlineStr">
        <is>
          <t>E3 somar as Trusted de RD</t>
        </is>
      </c>
      <c r="R206" s="5" t="inlineStr">
        <is>
          <t>2026-10-21</t>
        </is>
      </c>
      <c r="S206" s="5" t="inlineStr"/>
    </row>
    <row r="207">
      <c r="A207" s="5" t="inlineStr">
        <is>
          <t>RD Station</t>
        </is>
      </c>
      <c r="B207" s="5" t="inlineStr">
        <is>
          <t>HOSPITAL SANTA JÚLIA</t>
        </is>
      </c>
      <c r="C207" s="5" t="inlineStr">
        <is>
          <t>—</t>
        </is>
      </c>
      <c r="D207" s="5" t="inlineStr">
        <is>
          <t>BD - RD STATION - HOSPITAL SANTA JÚLIA</t>
        </is>
      </c>
      <c r="E207" s="5" t="inlineStr">
        <is>
          <t>rd-station-STKa</t>
        </is>
      </c>
      <c r="F207" s="5" t="inlineStr">
        <is>
          <t>1 Funcional — dado ativo</t>
        </is>
      </c>
      <c r="G207" s="5" t="n">
        <v>2333</v>
      </c>
      <c r="H207" s="5" t="inlineStr">
        <is>
          <t>2026-10-20</t>
        </is>
      </c>
      <c r="I207" s="5" t="n">
        <v>1329</v>
      </c>
      <c r="J207" s="5" t="n"/>
      <c r="K207" s="5" t="n"/>
      <c r="L207" s="5" t="inlineStr"/>
      <c r="M207" s="5" t="inlineStr">
        <is>
          <t>ultimo evento</t>
        </is>
      </c>
      <c r="N207" s="5" t="inlineStr"/>
      <c r="O207" s="5" t="inlineStr">
        <is>
          <t>—</t>
        </is>
      </c>
      <c r="P207" s="5" t="inlineStr"/>
      <c r="Q207" s="5" t="inlineStr">
        <is>
          <t>ja na Trusted</t>
        </is>
      </c>
      <c r="R207" s="5" t="inlineStr"/>
      <c r="S207" s="5" t="inlineStr">
        <is>
          <t>885 contatos · 1.169 conversões · grão mínimo: só id. e-mail e última conversão · carga 13/10</t>
        </is>
      </c>
    </row>
    <row r="208">
      <c r="A208" s="5" t="inlineStr">
        <is>
          <t>RD Station</t>
        </is>
      </c>
      <c r="B208" s="5" t="inlineStr">
        <is>
          <t>KL RENT A CAR</t>
        </is>
      </c>
      <c r="C208" s="5" t="inlineStr">
        <is>
          <t>—</t>
        </is>
      </c>
      <c r="D208" s="5" t="inlineStr">
        <is>
          <t>BD - RD STATION - KL RENT A CAR</t>
        </is>
      </c>
      <c r="E208" s="5" t="inlineStr">
        <is>
          <t>rd-station-Ozim</t>
        </is>
      </c>
      <c r="F208" s="5" t="inlineStr">
        <is>
          <t>1 Funcional — dado ativo</t>
        </is>
      </c>
      <c r="G208" s="5" t="n">
        <v>166942</v>
      </c>
      <c r="H208" s="5" t="inlineStr">
        <is>
          <t>2026-10-01</t>
        </is>
      </c>
      <c r="I208" s="5" t="n">
        <v>83224</v>
      </c>
      <c r="J208" s="5" t="n"/>
      <c r="K208" s="5" t="n"/>
      <c r="L208" s="5" t="inlineStr"/>
      <c r="M208" s="5" t="inlineStr">
        <is>
          <t>ultimo evento</t>
        </is>
      </c>
      <c r="N208" s="5" t="inlineStr"/>
      <c r="O208" s="5" t="inlineStr">
        <is>
          <t>—</t>
        </is>
      </c>
      <c r="P208" s="5" t="inlineStr"/>
      <c r="Q208" s="5" t="inlineStr">
        <is>
          <t>ja na Trusted</t>
        </is>
      </c>
      <c r="R208" s="5" t="inlineStr"/>
      <c r="S208" s="5" t="inlineStr">
        <is>
          <t>83.718 contatos · 83.224 conversões · grão completo (cadastro com detalhe) · carga 13/10</t>
        </is>
      </c>
    </row>
    <row r="209">
      <c r="A209" s="5" t="inlineStr">
        <is>
          <t>RD Station</t>
        </is>
      </c>
      <c r="B209" s="5" t="inlineStr">
        <is>
          <t>MARAVILHA MOTOS</t>
        </is>
      </c>
      <c r="C209" s="5" t="inlineStr">
        <is>
          <t>—</t>
        </is>
      </c>
      <c r="D209" s="5" t="inlineStr">
        <is>
          <t>BD - RD STATION - MARAVILHA MOTOS</t>
        </is>
      </c>
      <c r="E209" s="5" t="inlineStr">
        <is>
          <t>rd-station-CWtQ</t>
        </is>
      </c>
      <c r="F209" s="5" t="inlineStr">
        <is>
          <t>1 Funcional — dado ativo</t>
        </is>
      </c>
      <c r="G209" s="5" t="n">
        <v>401</v>
      </c>
      <c r="H209" s="5" t="inlineStr">
        <is>
          <t>2026-10-13</t>
        </is>
      </c>
      <c r="I209" s="5" t="n">
        <v>271</v>
      </c>
      <c r="J209" s="5" t="n"/>
      <c r="K209" s="5" t="n"/>
      <c r="L209" s="5" t="inlineStr"/>
      <c r="M209" s="5" t="inlineStr">
        <is>
          <t>ultimo evento</t>
        </is>
      </c>
      <c r="N209" s="5" t="inlineStr"/>
      <c r="O209" s="5" t="inlineStr">
        <is>
          <t>—</t>
        </is>
      </c>
      <c r="P209" s="5" t="inlineStr"/>
      <c r="Q209" s="5" t="inlineStr">
        <is>
          <t>ja na Trusted</t>
        </is>
      </c>
      <c r="R209" s="5" t="inlineStr"/>
      <c r="S209" s="5" t="inlineStr">
        <is>
          <t>129 contatos · 270 conversões · grão mínimo: só id. e-mail e última conversão · carga 13/10</t>
        </is>
      </c>
    </row>
    <row r="210">
      <c r="A210" s="5" t="inlineStr">
        <is>
          <t>RD Station</t>
        </is>
      </c>
      <c r="B210" s="5" t="inlineStr">
        <is>
          <t>MILLENNIUM SHOPPING</t>
        </is>
      </c>
      <c r="C210" s="5" t="inlineStr">
        <is>
          <t>—</t>
        </is>
      </c>
      <c r="D210" s="5" t="inlineStr">
        <is>
          <t>BD - RD STATION - MILLENNIUM SHOPPING</t>
        </is>
      </c>
      <c r="E210" s="5" t="inlineStr">
        <is>
          <t>rd-station-4b7D</t>
        </is>
      </c>
      <c r="F210" s="5" t="inlineStr">
        <is>
          <t>1 Funcional — dado ativo</t>
        </is>
      </c>
      <c r="G210" s="5" t="n">
        <v>403</v>
      </c>
      <c r="H210" s="5" t="inlineStr">
        <is>
          <t>2026-10-19</t>
        </is>
      </c>
      <c r="I210" s="5" t="n">
        <v>209</v>
      </c>
      <c r="J210" s="5" t="n"/>
      <c r="K210" s="5" t="n"/>
      <c r="L210" s="5" t="inlineStr"/>
      <c r="M210" s="5" t="inlineStr">
        <is>
          <t>ultimo evento</t>
        </is>
      </c>
      <c r="N210" s="5" t="inlineStr"/>
      <c r="O210" s="5" t="inlineStr">
        <is>
          <t>—</t>
        </is>
      </c>
      <c r="P210" s="5" t="inlineStr"/>
      <c r="Q210" s="5" t="inlineStr">
        <is>
          <t>ja na Trusted</t>
        </is>
      </c>
      <c r="R210" s="5" t="inlineStr"/>
      <c r="S210" s="5" t="inlineStr">
        <is>
          <t>191 contatos · 204 conversões · grão mínimo: só id. e-mail e última conversão · carga 13/10</t>
        </is>
      </c>
    </row>
    <row r="211">
      <c r="A211" s="5" t="inlineStr">
        <is>
          <t>RD Station</t>
        </is>
      </c>
      <c r="B211" s="5" t="inlineStr">
        <is>
          <t>MOVE</t>
        </is>
      </c>
      <c r="C211" s="5" t="inlineStr">
        <is>
          <t>—</t>
        </is>
      </c>
      <c r="D211" s="5" t="inlineStr">
        <is>
          <t>BD - RD STATION - MOVE</t>
        </is>
      </c>
      <c r="E211" s="5" t="inlineStr">
        <is>
          <t>rd-station-sPoP</t>
        </is>
      </c>
      <c r="F211" s="5" t="inlineStr">
        <is>
          <t>1 Funcional — dado ativo</t>
        </is>
      </c>
      <c r="G211" s="5" t="n">
        <v>3107</v>
      </c>
      <c r="H211" s="5" t="inlineStr">
        <is>
          <t>2026-10-20</t>
        </is>
      </c>
      <c r="I211" s="5" t="n">
        <v>1482</v>
      </c>
      <c r="J211" s="5" t="n"/>
      <c r="K211" s="5" t="n"/>
      <c r="L211" s="5" t="inlineStr"/>
      <c r="M211" s="5" t="inlineStr">
        <is>
          <t>ultimo evento</t>
        </is>
      </c>
      <c r="N211" s="5" t="inlineStr"/>
      <c r="O211" s="5" t="inlineStr">
        <is>
          <t>—</t>
        </is>
      </c>
      <c r="P211" s="5" t="inlineStr"/>
      <c r="Q211" s="5" t="inlineStr">
        <is>
          <t>ja na Trusted</t>
        </is>
      </c>
      <c r="R211" s="5" t="inlineStr"/>
      <c r="S211" s="5" t="inlineStr">
        <is>
          <t>1.487 contatos · 1.351 conversões · grão mínimo: só id. e-mail e última conversão · carga 13/10</t>
        </is>
      </c>
    </row>
    <row r="212">
      <c r="A212" s="5" t="inlineStr">
        <is>
          <t>RD Station</t>
        </is>
      </c>
      <c r="B212" s="5" t="inlineStr">
        <is>
          <t>PMZ</t>
        </is>
      </c>
      <c r="C212" s="5" t="inlineStr">
        <is>
          <t>—</t>
        </is>
      </c>
      <c r="D212" s="5" t="inlineStr">
        <is>
          <t>BD - RD STATION - PMZ</t>
        </is>
      </c>
      <c r="E212" s="5" t="inlineStr">
        <is>
          <t>rd-station-bdVN</t>
        </is>
      </c>
      <c r="F212" s="5" t="inlineStr">
        <is>
          <t>1 Funcional — dado ativo</t>
        </is>
      </c>
      <c r="G212" s="5" t="n">
        <v>980</v>
      </c>
      <c r="H212" s="5" t="inlineStr">
        <is>
          <t>2026-10-20</t>
        </is>
      </c>
      <c r="I212" s="5" t="n">
        <v>608</v>
      </c>
      <c r="J212" s="5" t="n"/>
      <c r="K212" s="5" t="n"/>
      <c r="L212" s="5" t="inlineStr"/>
      <c r="M212" s="5" t="inlineStr">
        <is>
          <t>ultimo evento</t>
        </is>
      </c>
      <c r="N212" s="5" t="inlineStr"/>
      <c r="O212" s="5" t="inlineStr">
        <is>
          <t>—</t>
        </is>
      </c>
      <c r="P212" s="5" t="inlineStr"/>
      <c r="Q212" s="5" t="inlineStr">
        <is>
          <t>ja na Trusted</t>
        </is>
      </c>
      <c r="R212" s="5" t="inlineStr"/>
      <c r="S212" s="5" t="inlineStr">
        <is>
          <t>341 contatos · 570 conversões · grão completo (cadastro com detalhe) · carga 13/10</t>
        </is>
      </c>
    </row>
    <row r="213">
      <c r="A213" s="5" t="inlineStr">
        <is>
          <t>RD Station</t>
        </is>
      </c>
      <c r="B213" s="5" t="inlineStr">
        <is>
          <t>PMZ ESCOLA</t>
        </is>
      </c>
      <c r="C213" s="5" t="inlineStr">
        <is>
          <t>—</t>
        </is>
      </c>
      <c r="D213" s="5" t="inlineStr">
        <is>
          <t>(sem fonte)</t>
        </is>
      </c>
      <c r="E213" s="5" t="inlineStr">
        <is>
          <t>rd-station-mEzQ</t>
        </is>
      </c>
      <c r="F213" s="5" t="inlineStr">
        <is>
          <t>1 Funcional — dado ativo</t>
        </is>
      </c>
      <c r="G213" s="5" t="n">
        <v>31047</v>
      </c>
      <c r="H213" s="5" t="inlineStr">
        <is>
          <t>2026-10-18</t>
        </is>
      </c>
      <c r="I213" s="5" t="n">
        <v>17652</v>
      </c>
      <c r="J213" s="5" t="n"/>
      <c r="K213" s="5" t="n"/>
      <c r="L213" s="5" t="inlineStr"/>
      <c r="M213" s="5" t="inlineStr">
        <is>
          <t>ultimo evento</t>
        </is>
      </c>
      <c r="N213" s="5" t="inlineStr"/>
      <c r="O213" s="5" t="inlineStr">
        <is>
          <t>Nekt (Jussara)</t>
        </is>
      </c>
      <c r="P213" s="5" t="inlineStr"/>
      <c r="Q213" s="5" t="inlineStr">
        <is>
          <t>E3 somar as Trusted de RD</t>
        </is>
      </c>
      <c r="R213" s="5" t="inlineStr">
        <is>
          <t>2026-10-21</t>
        </is>
      </c>
      <c r="S213" s="5" t="inlineStr">
        <is>
          <t>cliente sem fonte ligada a ele; aguardar validação de cobertura</t>
        </is>
      </c>
    </row>
    <row r="214">
      <c r="A214" s="5" t="inlineStr">
        <is>
          <t>RD Station</t>
        </is>
      </c>
      <c r="B214" s="5" t="inlineStr">
        <is>
          <t>PNEU FORTE</t>
        </is>
      </c>
      <c r="C214" s="5" t="inlineStr">
        <is>
          <t>—</t>
        </is>
      </c>
      <c r="D214" s="5" t="inlineStr">
        <is>
          <t>BD - RD STATION - PNEU FORTE</t>
        </is>
      </c>
      <c r="E214" s="5" t="inlineStr">
        <is>
          <t>rd-station-7K57</t>
        </is>
      </c>
      <c r="F214" s="5" t="inlineStr">
        <is>
          <t>1 Funcional — dado ativo</t>
        </is>
      </c>
      <c r="G214" s="5" t="n">
        <v>530</v>
      </c>
      <c r="H214" s="5" t="inlineStr">
        <is>
          <t>2026-10-19</t>
        </is>
      </c>
      <c r="I214" s="5" t="n">
        <v>280</v>
      </c>
      <c r="J214" s="5" t="n"/>
      <c r="K214" s="5" t="n"/>
      <c r="L214" s="5" t="inlineStr"/>
      <c r="M214" s="5" t="inlineStr">
        <is>
          <t>ultimo evento</t>
        </is>
      </c>
      <c r="N214" s="5" t="inlineStr"/>
      <c r="O214" s="5" t="inlineStr">
        <is>
          <t>—</t>
        </is>
      </c>
      <c r="P214" s="5" t="inlineStr"/>
      <c r="Q214" s="5" t="inlineStr">
        <is>
          <t>ja na Trusted</t>
        </is>
      </c>
      <c r="R214" s="5" t="inlineStr"/>
      <c r="S214" s="5" t="inlineStr">
        <is>
          <t>231 contatos · 260 conversões · grão mínimo: só id. e-mail e última conversão · carga 13/10</t>
        </is>
      </c>
    </row>
    <row r="215">
      <c r="A215" s="5" t="inlineStr">
        <is>
          <t>RD Station</t>
        </is>
      </c>
      <c r="B215" s="5" t="inlineStr">
        <is>
          <t>REI DAS MANGUEIRAS</t>
        </is>
      </c>
      <c r="C215" s="5" t="inlineStr">
        <is>
          <t>—</t>
        </is>
      </c>
      <c r="D215" s="5" t="inlineStr">
        <is>
          <t>BD - RD STATION - REI DAS MANGUEIRAS</t>
        </is>
      </c>
      <c r="E215" s="5" t="inlineStr">
        <is>
          <t>rd-station-h3u2</t>
        </is>
      </c>
      <c r="F215" s="5" t="inlineStr">
        <is>
          <t>1 Funcional — dado ativo</t>
        </is>
      </c>
      <c r="G215" s="5" t="n">
        <v>690</v>
      </c>
      <c r="H215" s="5" t="inlineStr">
        <is>
          <t>2026-10-20</t>
        </is>
      </c>
      <c r="I215" s="5" t="n">
        <v>363</v>
      </c>
      <c r="J215" s="5" t="n"/>
      <c r="K215" s="5" t="n"/>
      <c r="L215" s="5" t="inlineStr"/>
      <c r="M215" s="5" t="inlineStr">
        <is>
          <t>ultimo evento</t>
        </is>
      </c>
      <c r="N215" s="5" t="inlineStr"/>
      <c r="O215" s="5" t="inlineStr">
        <is>
          <t>—</t>
        </is>
      </c>
      <c r="P215" s="5" t="inlineStr"/>
      <c r="Q215" s="5" t="inlineStr">
        <is>
          <t>ja na Trusted</t>
        </is>
      </c>
      <c r="R215" s="5" t="inlineStr"/>
      <c r="S215" s="5" t="inlineStr">
        <is>
          <t>296 contatos · 326 conversões · grão mínimo: só id. e-mail e última conversão · carga 13/10</t>
        </is>
      </c>
    </row>
    <row r="216">
      <c r="A216" s="5" t="inlineStr">
        <is>
          <t>RD Station</t>
        </is>
      </c>
      <c r="B216" s="5" t="inlineStr">
        <is>
          <t>RODRIX</t>
        </is>
      </c>
      <c r="C216" s="5" t="inlineStr">
        <is>
          <t>—</t>
        </is>
      </c>
      <c r="D216" s="5" t="inlineStr">
        <is>
          <t>(sem fonte)</t>
        </is>
      </c>
      <c r="E216" s="5" t="inlineStr">
        <is>
          <t>rd-station-zxA3</t>
        </is>
      </c>
      <c r="F216" s="5" t="inlineStr">
        <is>
          <t>1 Funcional — dado ativo</t>
        </is>
      </c>
      <c r="G216" s="5" t="n">
        <v>2193</v>
      </c>
      <c r="H216" s="5" t="inlineStr">
        <is>
          <t>2026-10-17</t>
        </is>
      </c>
      <c r="I216" s="5" t="n">
        <v>1116</v>
      </c>
      <c r="J216" s="5" t="n"/>
      <c r="K216" s="5" t="n"/>
      <c r="L216" s="5" t="inlineStr"/>
      <c r="M216" s="5" t="inlineStr">
        <is>
          <t>ultimo evento</t>
        </is>
      </c>
      <c r="N216" s="5" t="inlineStr"/>
      <c r="O216" s="5" t="inlineStr">
        <is>
          <t>Nekt (Jussara)</t>
        </is>
      </c>
      <c r="P216" s="5" t="inlineStr"/>
      <c r="Q216" s="5" t="inlineStr">
        <is>
          <t>E3 somar as Trusted de RD</t>
        </is>
      </c>
      <c r="R216" s="5" t="inlineStr">
        <is>
          <t>2026-10-21</t>
        </is>
      </c>
      <c r="S216" s="5" t="inlineStr"/>
    </row>
    <row r="217">
      <c r="A217" s="5" t="inlineStr">
        <is>
          <t>RD Station</t>
        </is>
      </c>
      <c r="B217" s="5" t="inlineStr">
        <is>
          <t>ROYAL ENFIELD</t>
        </is>
      </c>
      <c r="C217" s="5" t="inlineStr">
        <is>
          <t>—</t>
        </is>
      </c>
      <c r="D217" s="5" t="inlineStr">
        <is>
          <t>(sem fonte)</t>
        </is>
      </c>
      <c r="E217" s="5" t="inlineStr">
        <is>
          <t>rd-station-ypAe</t>
        </is>
      </c>
      <c r="F217" s="5" t="inlineStr">
        <is>
          <t>1 Funcional — dado ativo</t>
        </is>
      </c>
      <c r="G217" s="5" t="n">
        <v>5408</v>
      </c>
      <c r="H217" s="5" t="inlineStr">
        <is>
          <t>2026-10-18</t>
        </is>
      </c>
      <c r="I217" s="5" t="n">
        <v>3150</v>
      </c>
      <c r="J217" s="5" t="n"/>
      <c r="K217" s="5" t="n"/>
      <c r="L217" s="5" t="inlineStr"/>
      <c r="M217" s="5" t="inlineStr">
        <is>
          <t>ultimo evento</t>
        </is>
      </c>
      <c r="N217" s="5" t="inlineStr"/>
      <c r="O217" s="5" t="inlineStr">
        <is>
          <t>Nekt (Jussara)</t>
        </is>
      </c>
      <c r="P217" s="5" t="inlineStr"/>
      <c r="Q217" s="5" t="inlineStr">
        <is>
          <t>E3 somar as Trusted de RD</t>
        </is>
      </c>
      <c r="R217" s="5" t="inlineStr">
        <is>
          <t>2026-10-21</t>
        </is>
      </c>
      <c r="S217" s="5" t="inlineStr">
        <is>
          <t>cliente sem fonte ligada a ele; aguardar validação de cobertura</t>
        </is>
      </c>
    </row>
    <row r="218">
      <c r="A218" s="5" t="inlineStr">
        <is>
          <t>RD Station</t>
        </is>
      </c>
      <c r="B218" s="5" t="inlineStr">
        <is>
          <t>SANTO REMÉDIO</t>
        </is>
      </c>
      <c r="C218" s="5" t="inlineStr">
        <is>
          <t>—</t>
        </is>
      </c>
      <c r="D218" s="5" t="inlineStr">
        <is>
          <t>(sem fonte)</t>
        </is>
      </c>
      <c r="E218" s="5" t="inlineStr">
        <is>
          <t>rd-station-f2o9</t>
        </is>
      </c>
      <c r="F218" s="5" t="inlineStr">
        <is>
          <t>1 Funcional — dado ativo</t>
        </is>
      </c>
      <c r="G218" s="5" t="n">
        <v>261957</v>
      </c>
      <c r="H218" s="5" t="inlineStr">
        <is>
          <t>2026-10-19</t>
        </is>
      </c>
      <c r="I218" s="5" t="n">
        <v>193147</v>
      </c>
      <c r="J218" s="5" t="n"/>
      <c r="K218" s="5" t="n"/>
      <c r="L218" s="5" t="inlineStr"/>
      <c r="M218" s="5" t="inlineStr">
        <is>
          <t>ultimo evento</t>
        </is>
      </c>
      <c r="N218" s="5" t="inlineStr"/>
      <c r="O218" s="5" t="inlineStr">
        <is>
          <t>Nekt (Jussara)</t>
        </is>
      </c>
      <c r="P218" s="5" t="inlineStr"/>
      <c r="Q218" s="5" t="inlineStr">
        <is>
          <t>E3 somar as Trusted de RD</t>
        </is>
      </c>
      <c r="R218" s="5" t="inlineStr">
        <is>
          <t>2026-10-21</t>
        </is>
      </c>
      <c r="S218" s="5" t="inlineStr"/>
    </row>
    <row r="219">
      <c r="A219" s="5" t="inlineStr">
        <is>
          <t>RD Station</t>
        </is>
      </c>
      <c r="B219" s="5" t="inlineStr">
        <is>
          <t>SHIZEN</t>
        </is>
      </c>
      <c r="C219" s="5" t="inlineStr">
        <is>
          <t>—</t>
        </is>
      </c>
      <c r="D219" s="5" t="inlineStr">
        <is>
          <t>(sem fonte)</t>
        </is>
      </c>
      <c r="E219" s="5" t="inlineStr">
        <is>
          <t>rd-station-Sys9</t>
        </is>
      </c>
      <c r="F219" s="5" t="inlineStr">
        <is>
          <t>1 Funcional — dado ativo</t>
        </is>
      </c>
      <c r="G219" s="5" t="n">
        <v>56453</v>
      </c>
      <c r="H219" s="5" t="inlineStr">
        <is>
          <t>2026-10-19</t>
        </is>
      </c>
      <c r="I219" s="5" t="n">
        <v>28429</v>
      </c>
      <c r="J219" s="5" t="n"/>
      <c r="K219" s="5" t="n"/>
      <c r="L219" s="5" t="inlineStr"/>
      <c r="M219" s="5" t="inlineStr">
        <is>
          <t>ultimo evento</t>
        </is>
      </c>
      <c r="N219" s="5" t="inlineStr"/>
      <c r="O219" s="5" t="inlineStr">
        <is>
          <t>Nekt (Jussara)</t>
        </is>
      </c>
      <c r="P219" s="5" t="inlineStr"/>
      <c r="Q219" s="5" t="inlineStr">
        <is>
          <t>E3 somar as Trusted de RD</t>
        </is>
      </c>
      <c r="R219" s="5" t="inlineStr">
        <is>
          <t>2026-10-21</t>
        </is>
      </c>
      <c r="S219" s="5" t="inlineStr"/>
    </row>
    <row r="220">
      <c r="A220" s="5" t="inlineStr">
        <is>
          <t>RD Station</t>
        </is>
      </c>
      <c r="B220" s="5" t="inlineStr">
        <is>
          <t>STEEL PORT</t>
        </is>
      </c>
      <c r="C220" s="5" t="inlineStr">
        <is>
          <t>—</t>
        </is>
      </c>
      <c r="D220" s="5" t="inlineStr">
        <is>
          <t>BD - RD STATION - STEEL PORT</t>
        </is>
      </c>
      <c r="E220" s="5" t="inlineStr">
        <is>
          <t>rd-station-HVbj</t>
        </is>
      </c>
      <c r="F220" s="5" t="inlineStr">
        <is>
          <t>1 Funcional — dado ativo</t>
        </is>
      </c>
      <c r="G220" s="5" t="n">
        <v>218</v>
      </c>
      <c r="H220" s="5" t="inlineStr">
        <is>
          <t>2026-10-04</t>
        </is>
      </c>
      <c r="I220" s="5" t="n">
        <v>123</v>
      </c>
      <c r="J220" s="5" t="n"/>
      <c r="K220" s="5" t="n"/>
      <c r="L220" s="5" t="inlineStr"/>
      <c r="M220" s="5" t="inlineStr">
        <is>
          <t>ultimo evento</t>
        </is>
      </c>
      <c r="N220" s="5" t="inlineStr"/>
      <c r="O220" s="5" t="inlineStr">
        <is>
          <t>—</t>
        </is>
      </c>
      <c r="P220" s="5" t="inlineStr"/>
      <c r="Q220" s="5" t="inlineStr">
        <is>
          <t>ja na Trusted</t>
        </is>
      </c>
      <c r="R220" s="5" t="inlineStr"/>
      <c r="S220" s="5" t="inlineStr">
        <is>
          <t>95 contatos · 123 conversões · grão mínimo: só id. e-mail e última conversão · carga 13/10</t>
        </is>
      </c>
    </row>
    <row r="221">
      <c r="A221" s="5" t="inlineStr">
        <is>
          <t>RD Station</t>
        </is>
      </c>
      <c r="B221" s="5" t="inlineStr">
        <is>
          <t>UNIPAR</t>
        </is>
      </c>
      <c r="C221" s="5" t="inlineStr">
        <is>
          <t>—</t>
        </is>
      </c>
      <c r="D221" s="5" t="inlineStr">
        <is>
          <t>(sem fonte)</t>
        </is>
      </c>
      <c r="E221" s="5" t="inlineStr">
        <is>
          <t>rd-station-409D</t>
        </is>
      </c>
      <c r="F221" s="5" t="inlineStr">
        <is>
          <t>1 Funcional — dado ativo</t>
        </is>
      </c>
      <c r="G221" s="5" t="n">
        <v>17845</v>
      </c>
      <c r="H221" s="5" t="inlineStr">
        <is>
          <t>2026-10-19</t>
        </is>
      </c>
      <c r="I221" s="5" t="n">
        <v>11270</v>
      </c>
      <c r="J221" s="5" t="n"/>
      <c r="K221" s="5" t="n"/>
      <c r="L221" s="5" t="inlineStr"/>
      <c r="M221" s="5" t="inlineStr">
        <is>
          <t>ultimo evento</t>
        </is>
      </c>
      <c r="N221" s="5" t="inlineStr"/>
      <c r="O221" s="5" t="inlineStr">
        <is>
          <t>Nekt (Jussara)</t>
        </is>
      </c>
      <c r="P221" s="5" t="inlineStr"/>
      <c r="Q221" s="5" t="inlineStr">
        <is>
          <t>E3 somar as Trusted de RD</t>
        </is>
      </c>
      <c r="R221" s="5" t="inlineStr">
        <is>
          <t>2026-10-21</t>
        </is>
      </c>
      <c r="S221" s="5" t="inlineStr"/>
    </row>
    <row r="222">
      <c r="A222" s="5" t="inlineStr">
        <is>
          <t>RD Station</t>
        </is>
      </c>
      <c r="B222" s="5" t="inlineStr">
        <is>
          <t>VANGUARDA</t>
        </is>
      </c>
      <c r="C222" s="5" t="inlineStr">
        <is>
          <t>—</t>
        </is>
      </c>
      <c r="D222" s="5" t="inlineStr">
        <is>
          <t>RD_clientes_vanguarda</t>
        </is>
      </c>
      <c r="E222" s="5" t="inlineStr">
        <is>
          <t>rd-station-pDLk</t>
        </is>
      </c>
      <c r="F222" s="5" t="inlineStr">
        <is>
          <t>1 Funcional — dado ativo</t>
        </is>
      </c>
      <c r="G222" s="5" t="n">
        <v>10968</v>
      </c>
      <c r="H222" s="5" t="inlineStr">
        <is>
          <t>2026-10-19</t>
        </is>
      </c>
      <c r="I222" s="5" t="n">
        <v>6167</v>
      </c>
      <c r="J222" s="5" t="n"/>
      <c r="K222" s="5" t="n"/>
      <c r="L222" s="5" t="inlineStr"/>
      <c r="M222" s="5" t="inlineStr">
        <is>
          <t>ultimo evento</t>
        </is>
      </c>
      <c r="N222" s="5" t="inlineStr"/>
      <c r="O222" s="5" t="inlineStr">
        <is>
          <t>—</t>
        </is>
      </c>
      <c r="P222" s="5" t="inlineStr"/>
      <c r="Q222" s="5" t="inlineStr">
        <is>
          <t>ja na Trusted</t>
        </is>
      </c>
      <c r="R222" s="5" t="inlineStr"/>
      <c r="S222" s="5" t="inlineStr">
        <is>
          <t>4.789 contatos · 6.149 conversões · grão completo (cadastro com detalhe) · carga 13/10; as fontes 1eaJ e bjQx ("BD - RD STATION - VANGUARDA") são cópias desta conta</t>
        </is>
      </c>
    </row>
    <row r="223">
      <c r="A223" s="5" t="inlineStr">
        <is>
          <t>RD Station</t>
        </is>
      </c>
      <c r="B223" s="5" t="inlineStr">
        <is>
          <t>VBOT</t>
        </is>
      </c>
      <c r="C223" s="5" t="inlineStr">
        <is>
          <t>—</t>
        </is>
      </c>
      <c r="D223" s="5" t="inlineStr">
        <is>
          <t>BD - RD STATION - VBOT</t>
        </is>
      </c>
      <c r="E223" s="5" t="inlineStr">
        <is>
          <t>rd-station-iJK3</t>
        </is>
      </c>
      <c r="F223" s="5" t="inlineStr">
        <is>
          <t>1 Funcional — dado ativo</t>
        </is>
      </c>
      <c r="G223" s="5" t="n">
        <v>761</v>
      </c>
      <c r="H223" s="5" t="inlineStr">
        <is>
          <t>2026-10-19</t>
        </is>
      </c>
      <c r="I223" s="5" t="n">
        <v>471</v>
      </c>
      <c r="J223" s="5" t="n"/>
      <c r="K223" s="5" t="n"/>
      <c r="L223" s="5" t="inlineStr"/>
      <c r="M223" s="5" t="inlineStr">
        <is>
          <t>ultimo evento</t>
        </is>
      </c>
      <c r="N223" s="5" t="inlineStr"/>
      <c r="O223" s="5" t="inlineStr">
        <is>
          <t>—</t>
        </is>
      </c>
      <c r="P223" s="5" t="inlineStr"/>
      <c r="Q223" s="5" t="inlineStr">
        <is>
          <t>ja na Trusted</t>
        </is>
      </c>
      <c r="R223" s="5" t="inlineStr"/>
      <c r="S223" s="5" t="inlineStr">
        <is>
          <t>279 contatos · 454 conversões · grão mínimo: só id. e-mail e última conversão · carga 13/10</t>
        </is>
      </c>
    </row>
    <row r="224">
      <c r="A224" s="5" t="inlineStr">
        <is>
          <t>RD Station</t>
        </is>
      </c>
      <c r="B224" s="5" t="inlineStr">
        <is>
          <t>AMAZON OPEN MALL</t>
        </is>
      </c>
      <c r="C224" s="5" t="inlineStr">
        <is>
          <t>—</t>
        </is>
      </c>
      <c r="D224" s="5" t="inlineStr">
        <is>
          <t>BD - RD STATION - AMAZON OPEN MALL</t>
        </is>
      </c>
      <c r="E224" s="5" t="inlineStr">
        <is>
          <t>rd-station-AqsD</t>
        </is>
      </c>
      <c r="F224" s="5" t="inlineStr">
        <is>
          <t>2 Funcional — conta parada (leitura confirmada)</t>
        </is>
      </c>
      <c r="G224" s="5" t="n">
        <v>326</v>
      </c>
      <c r="H224" s="5" t="inlineStr">
        <is>
          <t>2026-09-17</t>
        </is>
      </c>
      <c r="I224" s="5" t="n">
        <v>197</v>
      </c>
      <c r="J224" s="5" t="n"/>
      <c r="K224" s="5" t="n"/>
      <c r="L224" s="5" t="inlineStr"/>
      <c r="M224" s="5" t="inlineStr">
        <is>
          <t>ultimo evento</t>
        </is>
      </c>
      <c r="N224" s="5" t="inlineStr"/>
      <c r="O224" s="5" t="inlineStr">
        <is>
          <t>—</t>
        </is>
      </c>
      <c r="P224" s="5" t="inlineStr"/>
      <c r="Q224" s="5" t="inlineStr">
        <is>
          <t>ja na Trusted</t>
        </is>
      </c>
      <c r="R224" s="5" t="inlineStr"/>
      <c r="S224" s="5" t="inlineStr">
        <is>
          <t>129 contatos · 197 conversões · grão mínimo: só id. e-mail e última conversão · carga 13/10</t>
        </is>
      </c>
    </row>
    <row r="225">
      <c r="A225" s="5" t="inlineStr">
        <is>
          <t>RD Station</t>
        </is>
      </c>
      <c r="B225" s="5" t="inlineStr">
        <is>
          <t>DON WATCHES</t>
        </is>
      </c>
      <c r="C225" s="5" t="inlineStr">
        <is>
          <t>—</t>
        </is>
      </c>
      <c r="D225" s="5" t="inlineStr">
        <is>
          <t>BD - RD STATION - DON WATCHES</t>
        </is>
      </c>
      <c r="E225" s="5" t="inlineStr">
        <is>
          <t>rd-station-dvZx</t>
        </is>
      </c>
      <c r="F225" s="5" t="inlineStr">
        <is>
          <t>2 Funcional — conta parada (leitura confirmada)</t>
        </is>
      </c>
      <c r="G225" s="5" t="n">
        <v>448</v>
      </c>
      <c r="H225" s="5" t="inlineStr">
        <is>
          <t>2026-09-15</t>
        </is>
      </c>
      <c r="I225" s="5" t="n">
        <v>301</v>
      </c>
      <c r="J225" s="5" t="n"/>
      <c r="K225" s="5" t="n"/>
      <c r="L225" s="5" t="inlineStr"/>
      <c r="M225" s="5" t="inlineStr">
        <is>
          <t>ultimo evento</t>
        </is>
      </c>
      <c r="N225" s="5" t="inlineStr"/>
      <c r="O225" s="5" t="inlineStr">
        <is>
          <t>AM do cliente / Jussara</t>
        </is>
      </c>
      <c r="P225" s="5" t="inlineStr"/>
      <c r="Q225" s="5" t="inlineStr">
        <is>
          <t>ja na Trusted</t>
        </is>
      </c>
      <c r="R225" s="5" t="inlineStr"/>
      <c r="S225" s="5" t="inlineStr">
        <is>
          <t>147 contatos · 301 conversões · grão mínimo: só id. e-mail e última conversão · carga 13/10</t>
        </is>
      </c>
    </row>
    <row r="226">
      <c r="A226" s="5" t="inlineStr">
        <is>
          <t>RD Station</t>
        </is>
      </c>
      <c r="B226" s="5" t="inlineStr">
        <is>
          <t>HOPE BAY</t>
        </is>
      </c>
      <c r="C226" s="5" t="inlineStr">
        <is>
          <t>—</t>
        </is>
      </c>
      <c r="D226" s="5" t="inlineStr">
        <is>
          <t>BD - RD STATION - HOPE BAY</t>
        </is>
      </c>
      <c r="E226" s="5" t="inlineStr">
        <is>
          <t>rd-station-HoWi</t>
        </is>
      </c>
      <c r="F226" s="5" t="inlineStr">
        <is>
          <t>2 Funcional — conta parada (leitura confirmada)</t>
        </is>
      </c>
      <c r="G226" s="5" t="n">
        <v>4022</v>
      </c>
      <c r="H226" s="5" t="inlineStr">
        <is>
          <t>2026-09-14</t>
        </is>
      </c>
      <c r="I226" s="5" t="n">
        <v>2012</v>
      </c>
      <c r="J226" s="5" t="n"/>
      <c r="K226" s="5" t="n"/>
      <c r="L226" s="5" t="inlineStr"/>
      <c r="M226" s="5" t="inlineStr">
        <is>
          <t>ultimo evento</t>
        </is>
      </c>
      <c r="N226" s="5" t="inlineStr"/>
      <c r="O226" s="5" t="inlineStr">
        <is>
          <t>AM do cliente / Jussara</t>
        </is>
      </c>
      <c r="P226" s="5" t="inlineStr"/>
      <c r="Q226" s="5" t="inlineStr">
        <is>
          <t>ja na Trusted</t>
        </is>
      </c>
      <c r="R226" s="5" t="inlineStr"/>
      <c r="S226" s="5" t="inlineStr">
        <is>
          <t>2.010 contatos · 2.012 conversões · grão mínimo: só id. e-mail e última conversão · carga 13/10</t>
        </is>
      </c>
    </row>
    <row r="227">
      <c r="A227" s="5" t="inlineStr">
        <is>
          <t>RD Station</t>
        </is>
      </c>
      <c r="B227" s="5" t="inlineStr">
        <is>
          <t>INFORCELL</t>
        </is>
      </c>
      <c r="C227" s="5" t="inlineStr">
        <is>
          <t>—</t>
        </is>
      </c>
      <c r="D227" s="5" t="inlineStr">
        <is>
          <t>BD - RD STATION - INFORCELL</t>
        </is>
      </c>
      <c r="E227" s="5" t="inlineStr">
        <is>
          <t>rd-station-sLX1</t>
        </is>
      </c>
      <c r="F227" s="5" t="inlineStr">
        <is>
          <t>2 Funcional — conta parada (leitura confirmada)</t>
        </is>
      </c>
      <c r="G227" s="5" t="n">
        <v>256</v>
      </c>
      <c r="H227" s="5" t="inlineStr">
        <is>
          <t>2026-09-02</t>
        </is>
      </c>
      <c r="I227" s="5" t="n">
        <v>130</v>
      </c>
      <c r="J227" s="5" t="n"/>
      <c r="K227" s="5" t="n"/>
      <c r="L227" s="5" t="inlineStr"/>
      <c r="M227" s="5" t="inlineStr">
        <is>
          <t>ultimo evento</t>
        </is>
      </c>
      <c r="N227" s="5" t="inlineStr"/>
      <c r="O227" s="5" t="inlineStr">
        <is>
          <t>—</t>
        </is>
      </c>
      <c r="P227" s="5" t="inlineStr"/>
      <c r="Q227" s="5" t="inlineStr">
        <is>
          <t>ja na Trusted</t>
        </is>
      </c>
      <c r="R227" s="5" t="inlineStr"/>
      <c r="S227" s="5" t="inlineStr">
        <is>
          <t>126 contatos · 130 conversões · grão mínimo: só id. e-mail e última conversão · carga 13/10</t>
        </is>
      </c>
    </row>
    <row r="228">
      <c r="A228" s="5" t="inlineStr">
        <is>
          <t>RD Station</t>
        </is>
      </c>
      <c r="B228" s="5" t="inlineStr">
        <is>
          <t>AMZ IMPORTS</t>
        </is>
      </c>
      <c r="C228" s="5" t="inlineStr">
        <is>
          <t>—</t>
        </is>
      </c>
      <c r="D228" s="5" t="inlineStr">
        <is>
          <t>BD - RD STATION - AMZ IMPORTS</t>
        </is>
      </c>
      <c r="E228" s="5" t="inlineStr">
        <is>
          <t>rd-station-socq</t>
        </is>
      </c>
      <c r="F228" s="5" t="inlineStr">
        <is>
          <t>3 Conectada — sem confirmação</t>
        </is>
      </c>
      <c r="G228" s="5" t="n"/>
      <c r="H228" s="5" t="inlineStr"/>
      <c r="I228" s="5" t="n"/>
      <c r="J228" s="5" t="n"/>
      <c r="K228" s="5" t="n"/>
      <c r="L228" s="5" t="inlineStr"/>
      <c r="M228" s="5" t="inlineStr">
        <is>
          <t>ultimo evento</t>
        </is>
      </c>
      <c r="N228" s="5" t="inlineStr">
        <is>
          <t>Fonte roda todo dia 12:40 e não entrega dado; causa não verificada</t>
        </is>
      </c>
      <c r="O228" s="5" t="inlineStr">
        <is>
          <t>Jussara (diagnóstico na Nekt) + Analista Inbound (Joyce)</t>
        </is>
      </c>
      <c r="P228" s="5" t="inlineStr">
        <is>
          <t>P3</t>
        </is>
      </c>
      <c r="Q228" s="5" t="inlineStr">
        <is>
          <t>E1 conferir</t>
        </is>
      </c>
      <c r="R228" s="5" t="inlineStr">
        <is>
          <t>2026-10-21</t>
        </is>
      </c>
      <c r="S228" s="5" t="inlineStr">
        <is>
          <t>0 tabelas na camada; Fonte roda sem entregar dado</t>
        </is>
      </c>
    </row>
    <row r="229">
      <c r="A229" s="5" t="inlineStr">
        <is>
          <t>RD Station</t>
        </is>
      </c>
      <c r="B229" s="5" t="inlineStr">
        <is>
          <t>BAJAJ</t>
        </is>
      </c>
      <c r="C229" s="5" t="inlineStr">
        <is>
          <t>—</t>
        </is>
      </c>
      <c r="D229" s="5" t="inlineStr">
        <is>
          <t>(sem fonte)</t>
        </is>
      </c>
      <c r="E229" s="5" t="inlineStr">
        <is>
          <t>rd-station-jSLj</t>
        </is>
      </c>
      <c r="F229" s="5" t="inlineStr">
        <is>
          <t>3 Conectada — sem confirmação</t>
        </is>
      </c>
      <c r="G229" s="5" t="n">
        <v>0</v>
      </c>
      <c r="H229" s="5" t="inlineStr"/>
      <c r="I229" s="5" t="n"/>
      <c r="J229" s="5" t="n"/>
      <c r="K229" s="5" t="n"/>
      <c r="L229" s="5" t="inlineStr"/>
      <c r="M229" s="5" t="inlineStr">
        <is>
          <t>ultimo evento</t>
        </is>
      </c>
      <c r="N229" s="5" t="inlineStr">
        <is>
          <t>Conferir se trouxe contatos e conversões (sucesso não prova dado)</t>
        </is>
      </c>
      <c r="O229" s="5" t="inlineStr">
        <is>
          <t>Nekt (Jussara)</t>
        </is>
      </c>
      <c r="P229" s="5" t="inlineStr">
        <is>
          <t>P3</t>
        </is>
      </c>
      <c r="Q229" s="5" t="inlineStr">
        <is>
          <t>E1 conferir</t>
        </is>
      </c>
      <c r="R229" s="5" t="inlineStr">
        <is>
          <t>2026-10-21</t>
        </is>
      </c>
      <c r="S229" s="5" t="inlineStr"/>
    </row>
    <row r="230">
      <c r="A230" s="5" t="inlineStr">
        <is>
          <t>RD Station</t>
        </is>
      </c>
      <c r="B230" s="5" t="inlineStr">
        <is>
          <t>BRAGA MOTOS - YAMAHA - VENDAS</t>
        </is>
      </c>
      <c r="C230" s="5" t="inlineStr">
        <is>
          <t>—</t>
        </is>
      </c>
      <c r="D230" s="5" t="inlineStr">
        <is>
          <t>(sem fonte)</t>
        </is>
      </c>
      <c r="E230" s="5" t="inlineStr">
        <is>
          <t>rd-station-O2oe</t>
        </is>
      </c>
      <c r="F230" s="5" t="inlineStr">
        <is>
          <t>4 Pendente</t>
        </is>
      </c>
      <c r="G230" s="5" t="n"/>
      <c r="H230" s="5" t="inlineStr"/>
      <c r="I230" s="5" t="n"/>
      <c r="J230" s="5" t="n"/>
      <c r="K230" s="5" t="n"/>
      <c r="L230" s="5" t="inlineStr"/>
      <c r="M230" s="5" t="inlineStr">
        <is>
          <t>ultimo evento</t>
        </is>
      </c>
      <c r="N230" s="5" t="inlineStr">
        <is>
          <t>OAuth com o administrador da conta RD do cliente</t>
        </is>
      </c>
      <c r="O230" s="5" t="inlineStr">
        <is>
          <t>Analista Inbound (Joyce) + admin da conta RD do cliente (a confirmar)</t>
        </is>
      </c>
      <c r="P230" s="5" t="inlineStr">
        <is>
          <t>P3</t>
        </is>
      </c>
      <c r="Q230" s="5" t="inlineStr">
        <is>
          <t>E2 publicar rascunho</t>
        </is>
      </c>
      <c r="R230" s="5" t="inlineStr">
        <is>
          <t>2026-10-21</t>
        </is>
      </c>
      <c r="S230" s="5" t="inlineStr">
        <is>
          <t>cliente sem fonte ligada a ele; aguardar validação de cobertura</t>
        </is>
      </c>
    </row>
    <row r="231">
      <c r="A231" s="5" t="inlineStr">
        <is>
          <t>RD Station</t>
        </is>
      </c>
      <c r="B231" s="5" t="inlineStr">
        <is>
          <t>BRAGA VEÍCULOS VENDAS - PÓS VENDA</t>
        </is>
      </c>
      <c r="C231" s="5" t="inlineStr">
        <is>
          <t>—</t>
        </is>
      </c>
      <c r="D231" s="5" t="inlineStr">
        <is>
          <t>(sem fonte)</t>
        </is>
      </c>
      <c r="E231" s="5" t="inlineStr">
        <is>
          <t>—</t>
        </is>
      </c>
      <c r="F231" s="5" t="inlineStr">
        <is>
          <t>4 Pendente</t>
        </is>
      </c>
      <c r="G231" s="5" t="n"/>
      <c r="H231" s="5" t="inlineStr"/>
      <c r="I231" s="5" t="n"/>
      <c r="J231" s="5" t="n"/>
      <c r="K231" s="5" t="n"/>
      <c r="L231" s="5" t="inlineStr"/>
      <c r="M231" s="5" t="inlineStr">
        <is>
          <t>ultimo evento</t>
        </is>
      </c>
      <c r="N231" s="5" t="inlineStr">
        <is>
          <t>Criar fonte RD Station e autorizar OAuth com usuário administrador da conta RD do cliente. Validar antes: a conta pode já estar coberta pela fonte WHAa</t>
        </is>
      </c>
      <c r="O231" s="5" t="inlineStr">
        <is>
          <t>Analista Inbound (Juan Carlos) + admin da conta RD do cliente (a confirmar)</t>
        </is>
      </c>
      <c r="P231" s="5" t="inlineStr">
        <is>
          <t>P3</t>
        </is>
      </c>
      <c r="Q231" s="5" t="inlineStr">
        <is>
          <t>E2 publicar rascunho</t>
        </is>
      </c>
      <c r="R231" s="5" t="inlineStr">
        <is>
          <t>2026-10-21</t>
        </is>
      </c>
      <c r="S231" s="5" t="inlineStr">
        <is>
          <t>cliente sem fonte ligada a ele; aguardar validação de cobertura</t>
        </is>
      </c>
    </row>
    <row r="232">
      <c r="A232" s="5" t="inlineStr">
        <is>
          <t>RD Station</t>
        </is>
      </c>
      <c r="B232" s="5" t="inlineStr">
        <is>
          <t>LEGACY PNEUS</t>
        </is>
      </c>
      <c r="C232" s="5" t="inlineStr">
        <is>
          <t>—</t>
        </is>
      </c>
      <c r="D232" s="5" t="inlineStr">
        <is>
          <t>(sem fonte)</t>
        </is>
      </c>
      <c r="E232" s="5" t="inlineStr">
        <is>
          <t>—</t>
        </is>
      </c>
      <c r="F232" s="5" t="inlineStr">
        <is>
          <t>4 Pendente</t>
        </is>
      </c>
      <c r="G232" s="5" t="n"/>
      <c r="H232" s="5" t="inlineStr"/>
      <c r="I232" s="5" t="n"/>
      <c r="J232" s="5" t="n"/>
      <c r="K232" s="5" t="n"/>
      <c r="L232" s="5" t="inlineStr"/>
      <c r="M232" s="5" t="inlineStr">
        <is>
          <t>ultimo evento</t>
        </is>
      </c>
      <c r="N232" s="5" t="inlineStr">
        <is>
          <t>Criar fonte RD Station e autorizar OAuth com usuário administrador da conta RD do cliente</t>
        </is>
      </c>
      <c r="O232" s="5" t="inlineStr">
        <is>
          <t>Analista Inbound (Bryan) + admin da conta RD do cliente (a confirmar)</t>
        </is>
      </c>
      <c r="P232" s="5" t="inlineStr">
        <is>
          <t>P3</t>
        </is>
      </c>
      <c r="Q232" s="5" t="inlineStr">
        <is>
          <t>E2 publicar rascunho</t>
        </is>
      </c>
      <c r="R232" s="5" t="inlineStr">
        <is>
          <t>2026-10-21</t>
        </is>
      </c>
      <c r="S232" s="5" t="inlineStr"/>
    </row>
    <row r="233">
      <c r="A233" s="5" t="inlineStr">
        <is>
          <t>RD Station</t>
        </is>
      </c>
      <c r="B233" s="5" t="inlineStr">
        <is>
          <t>LOVOL</t>
        </is>
      </c>
      <c r="C233" s="5" t="inlineStr">
        <is>
          <t>—</t>
        </is>
      </c>
      <c r="D233" s="5" t="inlineStr">
        <is>
          <t>(sem fonte)</t>
        </is>
      </c>
      <c r="E233" s="5" t="inlineStr">
        <is>
          <t>—</t>
        </is>
      </c>
      <c r="F233" s="5" t="inlineStr">
        <is>
          <t>4 Pendente</t>
        </is>
      </c>
      <c r="G233" s="5" t="n"/>
      <c r="H233" s="5" t="inlineStr"/>
      <c r="I233" s="5" t="n"/>
      <c r="J233" s="5" t="n"/>
      <c r="K233" s="5" t="n"/>
      <c r="L233" s="5" t="inlineStr"/>
      <c r="M233" s="5" t="inlineStr">
        <is>
          <t>ultimo evento</t>
        </is>
      </c>
      <c r="N233" s="5" t="inlineStr">
        <is>
          <t>Criar fonte RD Station e autorizar OAuth com usuário administrador da conta RD do cliente</t>
        </is>
      </c>
      <c r="O233" s="5" t="inlineStr">
        <is>
          <t>Analista Inbound (Bryan) + admin da conta RD do cliente (a confirmar)</t>
        </is>
      </c>
      <c r="P233" s="5" t="inlineStr">
        <is>
          <t>P3</t>
        </is>
      </c>
      <c r="Q233" s="5" t="inlineStr">
        <is>
          <t>E2 publicar rascunho</t>
        </is>
      </c>
      <c r="R233" s="5" t="inlineStr">
        <is>
          <t>2026-10-21</t>
        </is>
      </c>
      <c r="S233" s="5" t="inlineStr"/>
    </row>
    <row r="234">
      <c r="A234" s="5" t="inlineStr">
        <is>
          <t>RD Station</t>
        </is>
      </c>
      <c r="B234" s="5" t="inlineStr">
        <is>
          <t>TARGO CONSULTORIA</t>
        </is>
      </c>
      <c r="C234" s="5" t="inlineStr">
        <is>
          <t>—</t>
        </is>
      </c>
      <c r="D234" s="5" t="inlineStr">
        <is>
          <t>(sem fonte)</t>
        </is>
      </c>
      <c r="E234" s="5" t="inlineStr">
        <is>
          <t>—</t>
        </is>
      </c>
      <c r="F234" s="5" t="inlineStr">
        <is>
          <t>4 Pendente</t>
        </is>
      </c>
      <c r="G234" s="5" t="n"/>
      <c r="H234" s="5" t="inlineStr"/>
      <c r="I234" s="5" t="n"/>
      <c r="J234" s="5" t="n"/>
      <c r="K234" s="5" t="n"/>
      <c r="L234" s="5" t="inlineStr"/>
      <c r="M234" s="5" t="inlineStr">
        <is>
          <t>ultimo evento</t>
        </is>
      </c>
      <c r="N234" s="5" t="inlineStr">
        <is>
          <t>Criar fonte RD Station e autorizar OAuth com usuário administrador da conta RD do cliente</t>
        </is>
      </c>
      <c r="O234" s="5" t="inlineStr">
        <is>
          <t>Analista Inbound (Bryan) + admin da conta RD do cliente (a confirmar)</t>
        </is>
      </c>
      <c r="P234" s="5" t="inlineStr">
        <is>
          <t>P3</t>
        </is>
      </c>
      <c r="Q234" s="5" t="inlineStr">
        <is>
          <t>E2 publicar rascunho</t>
        </is>
      </c>
      <c r="R234" s="5" t="inlineStr">
        <is>
          <t>2026-10-21</t>
        </is>
      </c>
      <c r="S234" s="5" t="inlineStr"/>
    </row>
    <row r="235">
      <c r="A235" s="5" t="inlineStr">
        <is>
          <t>RD Station</t>
        </is>
      </c>
      <c r="B235" s="5" t="inlineStr">
        <is>
          <t>CDL</t>
        </is>
      </c>
      <c r="C235" s="5" t="inlineStr">
        <is>
          <t>—</t>
        </is>
      </c>
      <c r="D235" s="5" t="inlineStr">
        <is>
          <t>BD - RD STATION - CDL</t>
        </is>
      </c>
      <c r="E235" s="5" t="inlineStr">
        <is>
          <t>rd-station-YLIU</t>
        </is>
      </c>
      <c r="F235" s="5" t="inlineStr">
        <is>
          <t>5 Bloqueada</t>
        </is>
      </c>
      <c r="G235" s="5" t="n"/>
      <c r="H235" s="5" t="inlineStr"/>
      <c r="I235" s="5" t="n"/>
      <c r="J235" s="5" t="n"/>
      <c r="K235" s="5" t="n"/>
      <c r="L235" s="5" t="inlineStr"/>
      <c r="M235" s="5" t="inlineStr">
        <is>
          <t>ultimo evento</t>
        </is>
      </c>
      <c r="N235" s="5" t="inlineStr">
        <is>
          <t>Fonte desativada desde 08/09 (2 execuções, as duas com 403)</t>
        </is>
      </c>
      <c r="O235" s="5" t="inlineStr">
        <is>
          <t>Analista Inbound (Bryan) + admin da conta RD do CDL</t>
        </is>
      </c>
      <c r="P235" s="5" t="inlineStr">
        <is>
          <t>P1</t>
        </is>
      </c>
      <c r="Q235" s="5" t="inlineStr">
        <is>
          <t>E1 desbloquear</t>
        </is>
      </c>
      <c r="R235" s="5" t="inlineStr">
        <is>
          <t>2026-10-21</t>
        </is>
      </c>
      <c r="S235" s="5" t="inlineStr">
        <is>
          <t>sem tabela materializada</t>
        </is>
      </c>
    </row>
    <row r="236">
      <c r="A236" s="5" t="inlineStr">
        <is>
          <t>RD Station</t>
        </is>
      </c>
      <c r="B236" s="5" t="inlineStr">
        <is>
          <t>VANGUARDA (duplicata)</t>
        </is>
      </c>
      <c r="C236" s="5" t="inlineStr">
        <is>
          <t>—</t>
        </is>
      </c>
      <c r="D236" s="5" t="inlineStr">
        <is>
          <t>BD - RD STATION - VANGUARDA</t>
        </is>
      </c>
      <c r="E236" s="5" t="inlineStr">
        <is>
          <t>rd-station-1eaJ</t>
        </is>
      </c>
      <c r="F236" s="5" t="inlineStr">
        <is>
          <t>8 Dispensável (duplicata, ex-cliente, inativo, duplicidade ou decisão de não conectar)</t>
        </is>
      </c>
      <c r="G236" s="5" t="n"/>
      <c r="H236" s="5" t="inlineStr"/>
      <c r="I236" s="5" t="n"/>
      <c r="J236" s="5" t="n"/>
      <c r="K236" s="5" t="n"/>
      <c r="L236" s="5" t="inlineStr"/>
      <c r="M236" s="5" t="inlineStr">
        <is>
          <t>ultimo evento</t>
        </is>
      </c>
      <c r="N236" s="5" t="inlineStr">
        <is>
          <t>Não precisa manter (a validar) (informado em 16/10; ver planilha oficial #1743)</t>
        </is>
      </c>
      <c r="O236" s="5" t="inlineStr">
        <is>
          <t>Jussara (decisão; R-002 impede alterar sem pedido)</t>
        </is>
      </c>
      <c r="P236" s="5" t="inlineStr"/>
      <c r="Q236" s="5" t="inlineStr">
        <is>
          <t>dispensavel</t>
        </is>
      </c>
      <c r="R236" s="5" t="inlineStr"/>
      <c r="S236" s="5" t="inlineStr">
        <is>
          <t>só 1 contato fora da pDLk (e-mail de teste)</t>
        </is>
      </c>
    </row>
    <row r="237">
      <c r="A237" s="5" t="inlineStr">
        <is>
          <t>RD Station</t>
        </is>
      </c>
      <c r="B237" s="5" t="inlineStr">
        <is>
          <t>VANGUARDA (duplicata)</t>
        </is>
      </c>
      <c r="C237" s="5" t="inlineStr">
        <is>
          <t>—</t>
        </is>
      </c>
      <c r="D237" s="5" t="inlineStr">
        <is>
          <t>BD - RD STATION - VANGUARDA</t>
        </is>
      </c>
      <c r="E237" s="5" t="inlineStr">
        <is>
          <t>rd-station-bjQx</t>
        </is>
      </c>
      <c r="F237" s="5" t="inlineStr">
        <is>
          <t>8 Dispensável (duplicata, ex-cliente, inativo, duplicidade ou decisão de não conectar)</t>
        </is>
      </c>
      <c r="G237" s="5" t="n"/>
      <c r="H237" s="5" t="inlineStr"/>
      <c r="I237" s="5" t="n"/>
      <c r="J237" s="5" t="n"/>
      <c r="K237" s="5" t="n"/>
      <c r="L237" s="5" t="inlineStr"/>
      <c r="M237" s="5" t="inlineStr">
        <is>
          <t>ultimo evento</t>
        </is>
      </c>
      <c r="N237" s="5" t="inlineStr">
        <is>
          <t>Não precisa manter (a validar) (informado em 16/10; ver planilha oficial #1743)</t>
        </is>
      </c>
      <c r="O237" s="5" t="inlineStr">
        <is>
          <t>Jussara (decisão; R-002 impede alterar sem pedido)</t>
        </is>
      </c>
      <c r="P237" s="5" t="inlineStr"/>
      <c r="Q237" s="5" t="inlineStr">
        <is>
          <t>dispensavel</t>
        </is>
      </c>
      <c r="R237" s="5" t="inlineStr"/>
      <c r="S237" s="5" t="inlineStr">
        <is>
          <t>só 1 contato fora da pDLk (e-mail de teste)</t>
        </is>
      </c>
    </row>
    <row r="238">
      <c r="A238" s="5" t="inlineStr">
        <is>
          <t>Spotify Ads</t>
        </is>
      </c>
      <c r="B238" s="5" t="inlineStr">
        <is>
          <t>PÁTIO GOURMET (LOJAS)</t>
        </is>
      </c>
      <c r="C238" s="5" t="inlineStr">
        <is>
          <t>—</t>
        </is>
      </c>
      <c r="D238" s="5" t="inlineStr">
        <is>
          <t>conta não informada nos documentos</t>
        </is>
      </c>
      <c r="E238" s="5" t="inlineStr">
        <is>
          <t>—</t>
        </is>
      </c>
      <c r="F238" s="5" t="inlineStr">
        <is>
          <t>8 Dispensável (duplicata, ex-cliente, inativo, duplicidade ou decisão de não conectar)</t>
        </is>
      </c>
      <c r="G238" s="5" t="n"/>
      <c r="H238" s="5" t="inlineStr"/>
      <c r="I238" s="5" t="n"/>
      <c r="J238" s="5" t="n"/>
      <c r="K238" s="5" t="n"/>
      <c r="L238" s="5" t="inlineStr"/>
      <c r="M238" s="5" t="inlineStr"/>
      <c r="N238" s="5" t="inlineStr">
        <is>
          <t>Não precisa manter (ex-cliente) (informado em 16/10; ver planilha oficial #1743)</t>
        </is>
      </c>
      <c r="O238" s="5" t="inlineStr">
        <is>
          <t>Analista da conta</t>
        </is>
      </c>
      <c r="P238" s="5" t="inlineStr"/>
      <c r="Q238" s="5" t="inlineStr">
        <is>
          <t>dispensavel</t>
        </is>
      </c>
      <c r="R238" s="5" t="inlineStr">
        <is>
          <t>2026-10-30</t>
        </is>
      </c>
      <c r="S238" s="5" t="inlineStr"/>
    </row>
    <row r="239">
      <c r="A239" s="5" t="inlineStr">
        <is>
          <t>TikTok Ads</t>
        </is>
      </c>
      <c r="B239" s="5" t="inlineStr">
        <is>
          <t>BA ELÉTRICA</t>
        </is>
      </c>
      <c r="C239" s="5" t="inlineStr">
        <is>
          <t>—</t>
        </is>
      </c>
      <c r="D239" s="5" t="inlineStr">
        <is>
          <t>conta não informada nos documentos</t>
        </is>
      </c>
      <c r="E239" s="5" t="inlineStr">
        <is>
          <t>—</t>
        </is>
      </c>
      <c r="F239" s="5" t="inlineStr">
        <is>
          <t>7 Sem conexão</t>
        </is>
      </c>
      <c r="G239" s="5" t="n"/>
      <c r="H239" s="5" t="inlineStr"/>
      <c r="I239" s="5" t="n"/>
      <c r="J239" s="5" t="n"/>
      <c r="K239" s="5" t="n"/>
      <c r="L239" s="5" t="inlineStr"/>
      <c r="M239" s="5" t="inlineStr"/>
      <c r="N239" s="5" t="inlineStr">
        <is>
          <t>ID da conta não consta em nenhum documento</t>
        </is>
      </c>
      <c r="O239" s="5" t="inlineStr">
        <is>
          <t>Analista da conta</t>
        </is>
      </c>
      <c r="P239" s="5" t="inlineStr">
        <is>
          <t>P3</t>
        </is>
      </c>
      <c r="Q239" s="5" t="inlineStr">
        <is>
          <t>E4 levantar ID e decidir escopo</t>
        </is>
      </c>
      <c r="R239" s="5" t="inlineStr">
        <is>
          <t>2026-10-30</t>
        </is>
      </c>
      <c r="S239" s="5" t="inlineStr"/>
    </row>
    <row r="240">
      <c r="A240" s="5" t="inlineStr">
        <is>
          <t>TikTok Ads</t>
        </is>
      </c>
      <c r="B240" s="5" t="inlineStr">
        <is>
          <t>SANTO REMÉDIO</t>
        </is>
      </c>
      <c r="C240" s="5" t="inlineStr">
        <is>
          <t>—</t>
        </is>
      </c>
      <c r="D240" s="5" t="inlineStr">
        <is>
          <t>conta não informada nos documentos</t>
        </is>
      </c>
      <c r="E240" s="5" t="inlineStr">
        <is>
          <t>—</t>
        </is>
      </c>
      <c r="F240" s="5" t="inlineStr">
        <is>
          <t>7 Sem conexão</t>
        </is>
      </c>
      <c r="G240" s="5" t="n"/>
      <c r="H240" s="5" t="inlineStr"/>
      <c r="I240" s="5" t="n"/>
      <c r="J240" s="5" t="n"/>
      <c r="K240" s="5" t="n"/>
      <c r="L240" s="5" t="inlineStr"/>
      <c r="M240" s="5" t="inlineStr"/>
      <c r="N240" s="5" t="inlineStr">
        <is>
          <t>ID da conta não consta em nenhum documento</t>
        </is>
      </c>
      <c r="O240" s="5" t="inlineStr">
        <is>
          <t>Analista da conta</t>
        </is>
      </c>
      <c r="P240" s="5" t="inlineStr">
        <is>
          <t>P3</t>
        </is>
      </c>
      <c r="Q240" s="5" t="inlineStr">
        <is>
          <t>E4 levantar ID e decidir escopo</t>
        </is>
      </c>
      <c r="R240" s="5" t="inlineStr">
        <is>
          <t>2026-10-30</t>
        </is>
      </c>
      <c r="S240" s="5" t="inlineStr"/>
    </row>
    <row r="241">
      <c r="A241" s="5" t="inlineStr">
        <is>
          <t>TikTok Ads</t>
        </is>
      </c>
      <c r="B241" s="5" t="inlineStr">
        <is>
          <t>TUBOAÇOS</t>
        </is>
      </c>
      <c r="C241" s="5" t="inlineStr">
        <is>
          <t>—</t>
        </is>
      </c>
      <c r="D241" s="5" t="inlineStr">
        <is>
          <t>conta não informada nos documentos</t>
        </is>
      </c>
      <c r="E241" s="5" t="inlineStr">
        <is>
          <t>—</t>
        </is>
      </c>
      <c r="F241" s="5" t="inlineStr">
        <is>
          <t>7 Sem conexão</t>
        </is>
      </c>
      <c r="G241" s="5" t="n"/>
      <c r="H241" s="5" t="inlineStr"/>
      <c r="I241" s="5" t="n"/>
      <c r="J241" s="5" t="n"/>
      <c r="K241" s="5" t="n"/>
      <c r="L241" s="5" t="inlineStr"/>
      <c r="M241" s="5" t="inlineStr"/>
      <c r="N241" s="5" t="inlineStr">
        <is>
          <t>ID da conta não consta em nenhum documento</t>
        </is>
      </c>
      <c r="O241" s="5" t="inlineStr">
        <is>
          <t>Analista da conta</t>
        </is>
      </c>
      <c r="P241" s="5" t="inlineStr">
        <is>
          <t>P3</t>
        </is>
      </c>
      <c r="Q241" s="5" t="inlineStr">
        <is>
          <t>E4 levantar ID e decidir escopo</t>
        </is>
      </c>
      <c r="R241" s="5" t="inlineStr">
        <is>
          <t>2026-10-30</t>
        </is>
      </c>
      <c r="S241" s="5" t="inlineStr"/>
    </row>
    <row r="242">
      <c r="A242" s="5" t="inlineStr">
        <is>
          <t>TikTok Ads</t>
        </is>
      </c>
      <c r="B242" s="5" t="inlineStr">
        <is>
          <t>PÁTIO GOURMET (LOJAS)</t>
        </is>
      </c>
      <c r="C242" s="5" t="inlineStr">
        <is>
          <t>—</t>
        </is>
      </c>
      <c r="D242" s="5" t="inlineStr">
        <is>
          <t>conta não informada nos documentos</t>
        </is>
      </c>
      <c r="E242" s="5" t="inlineStr">
        <is>
          <t>—</t>
        </is>
      </c>
      <c r="F242" s="5" t="inlineStr">
        <is>
          <t>8 Dispensável (duplicata, ex-cliente, inativo, duplicidade ou decisão de não conectar)</t>
        </is>
      </c>
      <c r="G242" s="5" t="n"/>
      <c r="H242" s="5" t="inlineStr"/>
      <c r="I242" s="5" t="n"/>
      <c r="J242" s="5" t="n"/>
      <c r="K242" s="5" t="n"/>
      <c r="L242" s="5" t="inlineStr"/>
      <c r="M242" s="5" t="inlineStr"/>
      <c r="N242" s="5" t="inlineStr">
        <is>
          <t>Não precisa manter (ex-cliente) (informado em 16/10; ver planilha oficial #1743)</t>
        </is>
      </c>
      <c r="O242" s="5" t="inlineStr">
        <is>
          <t>Analista da conta</t>
        </is>
      </c>
      <c r="P242" s="5" t="inlineStr"/>
      <c r="Q242" s="5" t="inlineStr">
        <is>
          <t>dispensavel</t>
        </is>
      </c>
      <c r="R242" s="5" t="inlineStr">
        <is>
          <t>2026-10-30</t>
        </is>
      </c>
      <c r="S242" s="5" t="inlineStr"/>
    </row>
    <row r="243">
      <c r="A243" s="5" t="inlineStr">
        <is>
          <t>Twitter/X Ads</t>
        </is>
      </c>
      <c r="B243" s="5" t="inlineStr">
        <is>
          <t>PÁTIO GOURMET (LOJAS)</t>
        </is>
      </c>
      <c r="C243" s="5" t="inlineStr">
        <is>
          <t>—</t>
        </is>
      </c>
      <c r="D243" s="5" t="inlineStr">
        <is>
          <t>conta não informada nos documentos</t>
        </is>
      </c>
      <c r="E243" s="5" t="inlineStr">
        <is>
          <t>—</t>
        </is>
      </c>
      <c r="F243" s="5" t="inlineStr">
        <is>
          <t>8 Dispensável (duplicata, ex-cliente, inativo, duplicidade ou decisão de não conectar)</t>
        </is>
      </c>
      <c r="G243" s="5" t="n"/>
      <c r="H243" s="5" t="inlineStr"/>
      <c r="I243" s="5" t="n"/>
      <c r="J243" s="5" t="n"/>
      <c r="K243" s="5" t="n"/>
      <c r="L243" s="5" t="inlineStr"/>
      <c r="M243" s="5" t="inlineStr"/>
      <c r="N243" s="5" t="inlineStr">
        <is>
          <t>Não precisa manter (ex-cliente) (informado em 16/10; ver planilha oficial #1743)</t>
        </is>
      </c>
      <c r="O243" s="5" t="inlineStr">
        <is>
          <t>Analista da conta</t>
        </is>
      </c>
      <c r="P243" s="5" t="inlineStr"/>
      <c r="Q243" s="5" t="inlineStr">
        <is>
          <t>dispensavel</t>
        </is>
      </c>
      <c r="R243" s="5" t="inlineStr">
        <is>
          <t>2026-10-30</t>
        </is>
      </c>
      <c r="S243" s="5" t="inlineStr"/>
    </row>
  </sheetData>
  <autoFilter ref="A1:S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6" t="inlineStr">
        <is>
          <t>Plataforma</t>
        </is>
      </c>
      <c r="B1" s="6" t="inlineStr">
        <is>
          <t>Aplicáveis</t>
        </is>
      </c>
      <c r="C1" s="6" t="inlineStr">
        <is>
          <t>Conectadas</t>
        </is>
      </c>
      <c r="D1" s="6" t="inlineStr">
        <is>
          <t>Leitura confirmada</t>
        </is>
      </c>
      <c r="E1" s="6" t="inlineStr">
        <is>
          <t>Dado ativo</t>
        </is>
      </c>
      <c r="F1" s="6" t="inlineStr">
        <is>
          <t>Pendentes</t>
        </is>
      </c>
      <c r="G1" s="6" t="inlineStr">
        <is>
          <t>Bloqueadas</t>
        </is>
      </c>
      <c r="H1" s="6" t="inlineStr">
        <is>
          <t>Sem conexão</t>
        </is>
      </c>
      <c r="I1" s="6" t="inlineStr">
        <is>
          <t>% conectadas</t>
        </is>
      </c>
      <c r="J1" s="6" t="inlineStr">
        <is>
          <t>% leitura confirmada</t>
        </is>
      </c>
      <c r="K1" s="6" t="inlineStr">
        <is>
          <t>% dado ativo</t>
        </is>
      </c>
    </row>
    <row r="2">
      <c r="A2" s="2" t="inlineStr">
        <is>
          <t>Meta Ads</t>
        </is>
      </c>
      <c r="B2" s="2">
        <f>COUNTIFS(Contas!$A$2:$A$243,$A2,Contas!$F$2:$F$243,"&lt;&gt;6*",Contas!$F$2:$F$243,"&lt;&gt;8*")</f>
        <v/>
      </c>
      <c r="C2" s="2">
        <f>COUNTIFS(Contas!$A$2:$A$243,$A2,Contas!$F$2:$F$243,"1*")+COUNTIFS(Contas!$A$2:$A$243,$A2,Contas!$F$2:$F$243,"2*")+COUNTIFS(Contas!$A$2:$A$243,$A2,Contas!$F$2:$F$243,"3*")</f>
        <v/>
      </c>
      <c r="D2" s="2">
        <f>COUNTIFS(Contas!$A$2:$A$243,$A2,Contas!$F$2:$F$243,"1*")+COUNTIFS(Contas!$A$2:$A$243,$A2,Contas!$F$2:$F$243,"2*")</f>
        <v/>
      </c>
      <c r="E2" s="2">
        <f>COUNTIFS(Contas!$A$2:$A$243,$A2,Contas!$F$2:$F$243,"1*")</f>
        <v/>
      </c>
      <c r="F2" s="2">
        <f>COUNTIFS(Contas!$A$2:$A$243,$A2,Contas!$F$2:$F$243,"4*")</f>
        <v/>
      </c>
      <c r="G2" s="2">
        <f>COUNTIFS(Contas!$A$2:$A$243,$A2,Contas!$F$2:$F$243,"5*")</f>
        <v/>
      </c>
      <c r="H2" s="2">
        <f>COUNTIFS(Contas!$A$2:$A$243,$A2,Contas!$F$2:$F$243,"7*")</f>
        <v/>
      </c>
      <c r="I2" s="7">
        <f>IFERROR(C2/B2,0)</f>
        <v/>
      </c>
      <c r="J2" s="7">
        <f>IFERROR(D2/B2,0)</f>
        <v/>
      </c>
      <c r="K2" s="7">
        <f>IFERROR(E2/B2,0)</f>
        <v/>
      </c>
    </row>
    <row r="3">
      <c r="A3" s="2" t="inlineStr">
        <is>
          <t>Google Ads</t>
        </is>
      </c>
      <c r="B3" s="2">
        <f>COUNTIFS(Contas!$A$2:$A$243,$A3,Contas!$F$2:$F$243,"&lt;&gt;6*",Contas!$F$2:$F$243,"&lt;&gt;8*")</f>
        <v/>
      </c>
      <c r="C3" s="2">
        <f>COUNTIFS(Contas!$A$2:$A$243,$A3,Contas!$F$2:$F$243,"1*")+COUNTIFS(Contas!$A$2:$A$243,$A3,Contas!$F$2:$F$243,"2*")+COUNTIFS(Contas!$A$2:$A$243,$A3,Contas!$F$2:$F$243,"3*")</f>
        <v/>
      </c>
      <c r="D3" s="2">
        <f>COUNTIFS(Contas!$A$2:$A$243,$A3,Contas!$F$2:$F$243,"1*")+COUNTIFS(Contas!$A$2:$A$243,$A3,Contas!$F$2:$F$243,"2*")</f>
        <v/>
      </c>
      <c r="E3" s="2">
        <f>COUNTIFS(Contas!$A$2:$A$243,$A3,Contas!$F$2:$F$243,"1*")</f>
        <v/>
      </c>
      <c r="F3" s="2">
        <f>COUNTIFS(Contas!$A$2:$A$243,$A3,Contas!$F$2:$F$243,"4*")</f>
        <v/>
      </c>
      <c r="G3" s="2">
        <f>COUNTIFS(Contas!$A$2:$A$243,$A3,Contas!$F$2:$F$243,"5*")</f>
        <v/>
      </c>
      <c r="H3" s="2">
        <f>COUNTIFS(Contas!$A$2:$A$243,$A3,Contas!$F$2:$F$243,"7*")</f>
        <v/>
      </c>
      <c r="I3" s="7">
        <f>IFERROR(C3/B3,0)</f>
        <v/>
      </c>
      <c r="J3" s="7">
        <f>IFERROR(D3/B3,0)</f>
        <v/>
      </c>
      <c r="K3" s="7">
        <f>IFERROR(E3/B3,0)</f>
        <v/>
      </c>
    </row>
    <row r="4">
      <c r="A4" s="2" t="inlineStr">
        <is>
          <t>RD Station</t>
        </is>
      </c>
      <c r="B4" s="2">
        <f>COUNTIFS(Contas!$A$2:$A$243,$A4,Contas!$F$2:$F$243,"&lt;&gt;6*",Contas!$F$2:$F$243,"&lt;&gt;8*")</f>
        <v/>
      </c>
      <c r="C4" s="2">
        <f>COUNTIFS(Contas!$A$2:$A$243,$A4,Contas!$F$2:$F$243,"1*")+COUNTIFS(Contas!$A$2:$A$243,$A4,Contas!$F$2:$F$243,"2*")+COUNTIFS(Contas!$A$2:$A$243,$A4,Contas!$F$2:$F$243,"3*")</f>
        <v/>
      </c>
      <c r="D4" s="2">
        <f>COUNTIFS(Contas!$A$2:$A$243,$A4,Contas!$F$2:$F$243,"1*")+COUNTIFS(Contas!$A$2:$A$243,$A4,Contas!$F$2:$F$243,"2*")</f>
        <v/>
      </c>
      <c r="E4" s="2">
        <f>COUNTIFS(Contas!$A$2:$A$243,$A4,Contas!$F$2:$F$243,"1*")</f>
        <v/>
      </c>
      <c r="F4" s="2">
        <f>COUNTIFS(Contas!$A$2:$A$243,$A4,Contas!$F$2:$F$243,"4*")</f>
        <v/>
      </c>
      <c r="G4" s="2">
        <f>COUNTIFS(Contas!$A$2:$A$243,$A4,Contas!$F$2:$F$243,"5*")</f>
        <v/>
      </c>
      <c r="H4" s="2">
        <f>COUNTIFS(Contas!$A$2:$A$243,$A4,Contas!$F$2:$F$243,"7*")</f>
        <v/>
      </c>
      <c r="I4" s="7">
        <f>IFERROR(C4/B4,0)</f>
        <v/>
      </c>
      <c r="J4" s="7">
        <f>IFERROR(D4/B4,0)</f>
        <v/>
      </c>
      <c r="K4" s="7">
        <f>IFERROR(E4/B4,0)</f>
        <v/>
      </c>
    </row>
    <row r="5">
      <c r="A5" s="2" t="inlineStr">
        <is>
          <t>TikTok Ads</t>
        </is>
      </c>
      <c r="B5" s="2">
        <f>COUNTIFS(Contas!$A$2:$A$243,$A5,Contas!$F$2:$F$243,"&lt;&gt;6*",Contas!$F$2:$F$243,"&lt;&gt;8*")</f>
        <v/>
      </c>
      <c r="C5" s="2">
        <f>COUNTIFS(Contas!$A$2:$A$243,$A5,Contas!$F$2:$F$243,"1*")+COUNTIFS(Contas!$A$2:$A$243,$A5,Contas!$F$2:$F$243,"2*")+COUNTIFS(Contas!$A$2:$A$243,$A5,Contas!$F$2:$F$243,"3*")</f>
        <v/>
      </c>
      <c r="D5" s="2">
        <f>COUNTIFS(Contas!$A$2:$A$243,$A5,Contas!$F$2:$F$243,"1*")+COUNTIFS(Contas!$A$2:$A$243,$A5,Contas!$F$2:$F$243,"2*")</f>
        <v/>
      </c>
      <c r="E5" s="2">
        <f>COUNTIFS(Contas!$A$2:$A$243,$A5,Contas!$F$2:$F$243,"1*")</f>
        <v/>
      </c>
      <c r="F5" s="2">
        <f>COUNTIFS(Contas!$A$2:$A$243,$A5,Contas!$F$2:$F$243,"4*")</f>
        <v/>
      </c>
      <c r="G5" s="2">
        <f>COUNTIFS(Contas!$A$2:$A$243,$A5,Contas!$F$2:$F$243,"5*")</f>
        <v/>
      </c>
      <c r="H5" s="2">
        <f>COUNTIFS(Contas!$A$2:$A$243,$A5,Contas!$F$2:$F$243,"7*")</f>
        <v/>
      </c>
      <c r="I5" s="7">
        <f>IFERROR(C5/B5,0)</f>
        <v/>
      </c>
      <c r="J5" s="7">
        <f>IFERROR(D5/B5,0)</f>
        <v/>
      </c>
      <c r="K5" s="7">
        <f>IFERROR(E5/B5,0)</f>
        <v/>
      </c>
    </row>
    <row r="6">
      <c r="A6" s="2" t="inlineStr">
        <is>
          <t>LinkedIn Ads</t>
        </is>
      </c>
      <c r="B6" s="2">
        <f>COUNTIFS(Contas!$A$2:$A$243,$A6,Contas!$F$2:$F$243,"&lt;&gt;6*",Contas!$F$2:$F$243,"&lt;&gt;8*")</f>
        <v/>
      </c>
      <c r="C6" s="2">
        <f>COUNTIFS(Contas!$A$2:$A$243,$A6,Contas!$F$2:$F$243,"1*")+COUNTIFS(Contas!$A$2:$A$243,$A6,Contas!$F$2:$F$243,"2*")+COUNTIFS(Contas!$A$2:$A$243,$A6,Contas!$F$2:$F$243,"3*")</f>
        <v/>
      </c>
      <c r="D6" s="2">
        <f>COUNTIFS(Contas!$A$2:$A$243,$A6,Contas!$F$2:$F$243,"1*")+COUNTIFS(Contas!$A$2:$A$243,$A6,Contas!$F$2:$F$243,"2*")</f>
        <v/>
      </c>
      <c r="E6" s="2">
        <f>COUNTIFS(Contas!$A$2:$A$243,$A6,Contas!$F$2:$F$243,"1*")</f>
        <v/>
      </c>
      <c r="F6" s="2">
        <f>COUNTIFS(Contas!$A$2:$A$243,$A6,Contas!$F$2:$F$243,"4*")</f>
        <v/>
      </c>
      <c r="G6" s="2">
        <f>COUNTIFS(Contas!$A$2:$A$243,$A6,Contas!$F$2:$F$243,"5*")</f>
        <v/>
      </c>
      <c r="H6" s="2">
        <f>COUNTIFS(Contas!$A$2:$A$243,$A6,Contas!$F$2:$F$243,"7*")</f>
        <v/>
      </c>
      <c r="I6" s="7">
        <f>IFERROR(C6/B6,0)</f>
        <v/>
      </c>
      <c r="J6" s="7">
        <f>IFERROR(D6/B6,0)</f>
        <v/>
      </c>
      <c r="K6" s="7">
        <f>IFERROR(E6/B6,0)</f>
        <v/>
      </c>
    </row>
    <row r="7">
      <c r="A7" s="2" t="inlineStr">
        <is>
          <t>Spotify Ads</t>
        </is>
      </c>
      <c r="B7" s="2">
        <f>COUNTIFS(Contas!$A$2:$A$243,$A7,Contas!$F$2:$F$243,"&lt;&gt;6*",Contas!$F$2:$F$243,"&lt;&gt;8*")</f>
        <v/>
      </c>
      <c r="C7" s="2">
        <f>COUNTIFS(Contas!$A$2:$A$243,$A7,Contas!$F$2:$F$243,"1*")+COUNTIFS(Contas!$A$2:$A$243,$A7,Contas!$F$2:$F$243,"2*")+COUNTIFS(Contas!$A$2:$A$243,$A7,Contas!$F$2:$F$243,"3*")</f>
        <v/>
      </c>
      <c r="D7" s="2">
        <f>COUNTIFS(Contas!$A$2:$A$243,$A7,Contas!$F$2:$F$243,"1*")+COUNTIFS(Contas!$A$2:$A$243,$A7,Contas!$F$2:$F$243,"2*")</f>
        <v/>
      </c>
      <c r="E7" s="2">
        <f>COUNTIFS(Contas!$A$2:$A$243,$A7,Contas!$F$2:$F$243,"1*")</f>
        <v/>
      </c>
      <c r="F7" s="2">
        <f>COUNTIFS(Contas!$A$2:$A$243,$A7,Contas!$F$2:$F$243,"4*")</f>
        <v/>
      </c>
      <c r="G7" s="2">
        <f>COUNTIFS(Contas!$A$2:$A$243,$A7,Contas!$F$2:$F$243,"5*")</f>
        <v/>
      </c>
      <c r="H7" s="2">
        <f>COUNTIFS(Contas!$A$2:$A$243,$A7,Contas!$F$2:$F$243,"7*")</f>
        <v/>
      </c>
      <c r="I7" s="7">
        <f>IFERROR(C7/B7,0)</f>
        <v/>
      </c>
      <c r="J7" s="7">
        <f>IFERROR(D7/B7,0)</f>
        <v/>
      </c>
      <c r="K7" s="7">
        <f>IFERROR(E7/B7,0)</f>
        <v/>
      </c>
    </row>
    <row r="8">
      <c r="A8" s="2" t="inlineStr">
        <is>
          <t>Twitter/X Ads</t>
        </is>
      </c>
      <c r="B8" s="2">
        <f>COUNTIFS(Contas!$A$2:$A$243,$A8,Contas!$F$2:$F$243,"&lt;&gt;6*",Contas!$F$2:$F$243,"&lt;&gt;8*")</f>
        <v/>
      </c>
      <c r="C8" s="2">
        <f>COUNTIFS(Contas!$A$2:$A$243,$A8,Contas!$F$2:$F$243,"1*")+COUNTIFS(Contas!$A$2:$A$243,$A8,Contas!$F$2:$F$243,"2*")+COUNTIFS(Contas!$A$2:$A$243,$A8,Contas!$F$2:$F$243,"3*")</f>
        <v/>
      </c>
      <c r="D8" s="2">
        <f>COUNTIFS(Contas!$A$2:$A$243,$A8,Contas!$F$2:$F$243,"1*")+COUNTIFS(Contas!$A$2:$A$243,$A8,Contas!$F$2:$F$243,"2*")</f>
        <v/>
      </c>
      <c r="E8" s="2">
        <f>COUNTIFS(Contas!$A$2:$A$243,$A8,Contas!$F$2:$F$243,"1*")</f>
        <v/>
      </c>
      <c r="F8" s="2">
        <f>COUNTIFS(Contas!$A$2:$A$243,$A8,Contas!$F$2:$F$243,"4*")</f>
        <v/>
      </c>
      <c r="G8" s="2">
        <f>COUNTIFS(Contas!$A$2:$A$243,$A8,Contas!$F$2:$F$243,"5*")</f>
        <v/>
      </c>
      <c r="H8" s="2">
        <f>COUNTIFS(Contas!$A$2:$A$243,$A8,Contas!$F$2:$F$243,"7*")</f>
        <v/>
      </c>
      <c r="I8" s="7">
        <f>IFERROR(C8/B8,0)</f>
        <v/>
      </c>
      <c r="J8" s="7">
        <f>IFERROR(D8/B8,0)</f>
        <v/>
      </c>
      <c r="K8" s="7">
        <f>IFERROR(E8/B8,0)</f>
        <v/>
      </c>
    </row>
    <row r="9">
      <c r="A9" s="3" t="inlineStr">
        <is>
          <t>Total</t>
        </is>
      </c>
      <c r="B9" s="3">
        <f>SUM(B2:B8)</f>
        <v/>
      </c>
      <c r="C9" s="3">
        <f>SUM(C2:C8)</f>
        <v/>
      </c>
      <c r="D9" s="3">
        <f>SUM(D2:D8)</f>
        <v/>
      </c>
      <c r="E9" s="3">
        <f>SUM(E2:E8)</f>
        <v/>
      </c>
      <c r="F9" s="3">
        <f>SUM(F2:F8)</f>
        <v/>
      </c>
      <c r="G9" s="3">
        <f>SUM(G2:G8)</f>
        <v/>
      </c>
      <c r="H9" s="3">
        <f>SUM(H2:H8)</f>
        <v/>
      </c>
      <c r="I9" s="8">
        <f>C9/B9</f>
        <v/>
      </c>
      <c r="J9" s="8">
        <f>D9/B9</f>
        <v/>
      </c>
      <c r="K9" s="8">
        <f>E9/B9</f>
        <v/>
      </c>
    </row>
    <row r="10">
      <c r="A10" s="2" t="inlineStr">
        <is>
          <t>Meta + Google (confirmadas contra a plataforma)</t>
        </is>
      </c>
      <c r="B10" s="2">
        <f>B2+B3</f>
        <v/>
      </c>
      <c r="C10" s="2">
        <f>C2+C3</f>
        <v/>
      </c>
      <c r="D10" s="2">
        <f>D2+D3</f>
        <v/>
      </c>
      <c r="E10" s="2">
        <f>E2+E3</f>
        <v/>
      </c>
      <c r="F10" s="2">
        <f>F2+F3</f>
        <v/>
      </c>
      <c r="G10" s="2">
        <f>G2+G3</f>
        <v/>
      </c>
      <c r="H10" s="2" t="n">
        <v>0</v>
      </c>
      <c r="I10" s="7">
        <f>C10/B10</f>
        <v/>
      </c>
      <c r="J10" s="7">
        <f>D10/B10</f>
        <v/>
      </c>
      <c r="K10" s="7">
        <f>E10/B10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6" t="inlineStr">
        <is>
          <t>COBERTURA POR GASTO (reais)</t>
        </is>
      </c>
      <c r="B12" s="6" t="inlineStr">
        <is>
          <t>Gasto das contas com leitura confirmada</t>
        </is>
      </c>
      <c r="C12" s="6" t="inlineStr">
        <is>
          <t>Gasto total da plataforma (MCC)</t>
        </is>
      </c>
      <c r="D12" s="6" t="inlineStr">
        <is>
          <t>% coberto</t>
        </is>
      </c>
      <c r="E12" s="6" t="inlineStr">
        <is>
          <t>Janela</t>
        </is>
      </c>
      <c r="F12" s="6" t="inlineStr">
        <is>
          <t>Observação</t>
        </is>
      </c>
      <c r="G12" s="6" t="n"/>
      <c r="H12" s="6" t="n"/>
      <c r="I12" s="6" t="n"/>
      <c r="J12" s="6" t="n"/>
      <c r="K12" s="6" t="n"/>
    </row>
    <row r="13">
      <c r="A13" s="2" t="inlineStr">
        <is>
          <t>Meta Ads</t>
        </is>
      </c>
      <c r="B13" s="9">
        <f>SUMIFS(Contas!$J$2:$J$243,Contas!$A$2:$A$243,"Meta Ads",Contas!$F$2:$F$243,"1*",Contas!$L$2:$L$243,"BRL")+SUMIFS(Contas!$J$2:$J$243,Contas!$A$2:$A$243,"Meta Ads",Contas!$F$2:$F$243,"2*",Contas!$L$2:$L$243,"BRL")</f>
        <v/>
      </c>
      <c r="C13" s="9" t="n">
        <v>111727.79</v>
      </c>
      <c r="D13" s="7">
        <f>B13/C13</f>
        <v/>
      </c>
      <c r="E13" s="2" t="inlineStr">
        <is>
          <t>13–19/10 (7 dias)</t>
        </is>
      </c>
      <c r="F13" s="2" t="inlineStr">
        <is>
          <t>286 contas do MCC da Meta, relidas em 21/10 (uma devolveu 403); inclui conta nova 1675573549548233 (R$ 758,34) fora do inventário</t>
        </is>
      </c>
      <c r="G13" s="2" t="n"/>
      <c r="H13" s="2" t="n"/>
      <c r="I13" s="2" t="n"/>
      <c r="J13" s="2" t="n"/>
      <c r="K13" s="2" t="n"/>
    </row>
    <row r="14">
      <c r="A14" s="2" t="inlineStr">
        <is>
          <t>Google Ads (sem Nova Era, ex-clientes e inativos)</t>
        </is>
      </c>
      <c r="B14" s="9">
        <f>SUMIFS(Contas!$J$2:$J$243,Contas!$A$2:$A$243,"Google Ads",Contas!$F$2:$F$243,"1*",Contas!$L$2:$L$243,"BRL")+SUMIFS(Contas!$J$2:$J$243,Contas!$A$2:$A$243,"Google Ads",Contas!$F$2:$F$243,"2*",Contas!$L$2:$L$243,"BRL")</f>
        <v/>
      </c>
      <c r="C14" s="9" t="n">
        <v>104743.53</v>
      </c>
      <c r="D14" s="7">
        <f>B14/C14</f>
        <v/>
      </c>
      <c r="E14" s="2" t="inlineStr">
        <is>
          <t>13/09–12/10 (30 dias)</t>
        </is>
      </c>
      <c r="F14" s="2" t="inlineStr">
        <is>
          <t>REFERÊNCIA DE 16/10 (MCC do Google não consultado hoje); a Nekt foi re-medida em 21/10; denominador sem as 5 contas Nova Era e sem 8 contas de ex-clientes, inativos, duplicidade e decisão</t>
        </is>
      </c>
      <c r="G14" s="2" t="n"/>
      <c r="H14" s="2" t="n"/>
      <c r="I14" s="2" t="n"/>
      <c r="J14" s="2" t="n"/>
      <c r="K14" s="2" t="n"/>
    </row>
    <row r="15">
      <c r="A15" s="2" t="inlineStr">
        <is>
          <t>Google Ads (com Nova Era, ex-clientes e inativos no denominador)</t>
        </is>
      </c>
      <c r="B15" s="9">
        <f>B14</f>
        <v/>
      </c>
      <c r="C15" s="9" t="n">
        <v>156648.99</v>
      </c>
      <c r="D15" s="7">
        <f>B15/C15</f>
        <v/>
      </c>
      <c r="E15" s="2" t="inlineStr">
        <is>
          <t>13/09–12/10</t>
        </is>
      </c>
      <c r="F15" s="2" t="inlineStr">
        <is>
          <t>Mostra o efeito de essas contas ainda estarem vinculadas ao MCC: o salto de 71,2% (15/10) para 97,1% (16/10) vem do denominador</t>
        </is>
      </c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6" t="inlineStr">
        <is>
          <t>SANEAMENTO (outra medida)</t>
        </is>
      </c>
      <c r="B17" s="6" t="inlineStr">
        <is>
          <t>Regras conformes</t>
        </is>
      </c>
      <c r="C17" s="6" t="inlineStr">
        <is>
          <t>Regras publicadas</t>
        </is>
      </c>
      <c r="D17" s="6" t="inlineStr">
        <is>
          <t>%</t>
        </is>
      </c>
      <c r="E17" s="6" t="inlineStr">
        <is>
          <t>Fonte</t>
        </is>
      </c>
      <c r="F17" s="6" t="inlineStr">
        <is>
          <t>Observação</t>
        </is>
      </c>
      <c r="G17" s="6" t="n"/>
      <c r="H17" s="6" t="n"/>
      <c r="I17" s="6" t="n"/>
      <c r="J17" s="6" t="n"/>
      <c r="K17" s="6" t="n"/>
    </row>
    <row r="18">
      <c r="A18" s="2" t="inlineStr">
        <is>
          <t>Qualidade do dado que já chegou</t>
        </is>
      </c>
      <c r="B18" s="2" t="n">
        <v>1483</v>
      </c>
      <c r="C18" s="2" t="n">
        <v>1485</v>
      </c>
      <c r="D18" s="7">
        <f>B18/C18</f>
        <v/>
      </c>
      <c r="E18" s="2" t="inlineStr">
        <is>
          <t>tabelas de resultado das 37 suítes, 21/10</t>
        </is>
      </c>
      <c r="F18" s="2" t="inlineStr">
        <is>
          <t>Não mede contas ausentes; 1 alerta (grupo_anuncio.campanha_catalogada) e 1 bloqueante (vbot_wl_simples.carga_do_mesmo_dia)</t>
        </is>
      </c>
      <c r="G18" s="2" t="n"/>
      <c r="H18" s="2" t="n"/>
      <c r="I18" s="2" t="n"/>
      <c r="J18" s="2" t="n"/>
      <c r="K18" s="2" t="n"/>
    </row>
    <row r="19">
      <c r="A19" s="2" t="inlineStr">
        <is>
          <t>Fontes publicadas com sucesso na última execução</t>
        </is>
      </c>
      <c r="B19" s="2" t="n">
        <v>282</v>
      </c>
      <c r="C19" s="2" t="n">
        <v>300</v>
      </c>
      <c r="D19" s="7">
        <f>B19/C19</f>
        <v/>
      </c>
      <c r="E19" s="2" t="inlineStr">
        <is>
          <t>varredura de 21/10 (~09h de Manaus)</t>
        </is>
      </c>
      <c r="F19" s="2" t="inlineStr">
        <is>
          <t>Saúde de pipeline; sucesso não prova dado. 300 publicadas = 252 + 48 de Instagram e Páginas</t>
        </is>
      </c>
      <c r="G19" s="2" t="n"/>
      <c r="H19" s="2" t="n"/>
      <c r="I19" s="2" t="n"/>
      <c r="J19" s="2" t="n"/>
      <c r="K1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36" customWidth="1" min="4" max="4"/>
    <col width="26" customWidth="1" min="5" max="5"/>
    <col width="11" customWidth="1" min="6" max="6"/>
    <col width="11" customWidth="1" min="7" max="7"/>
    <col width="16" customWidth="1" min="8" max="8"/>
    <col width="12" customWidth="1" min="9" max="9"/>
    <col width="12" customWidth="1" min="10" max="10"/>
    <col width="12" customWidth="1" min="11" max="11"/>
    <col width="10" customWidth="1" min="12" max="12"/>
    <col width="34" customWidth="1" min="13" max="13"/>
  </cols>
  <sheetData>
    <row r="1">
      <c r="A1" s="4" t="inlineStr">
        <is>
          <t>Tipo</t>
        </is>
      </c>
      <c r="B1" s="4" t="inlineStr">
        <is>
          <t>Descrição da fonte</t>
        </is>
      </c>
      <c r="C1" s="4" t="inlineStr">
        <is>
          <t>Fonte</t>
        </is>
      </c>
      <c r="D1" s="4" t="inlineStr">
        <is>
          <t>Camada</t>
        </is>
      </c>
      <c r="E1" s="4" t="inlineStr">
        <is>
          <t>Conta / página</t>
        </is>
      </c>
      <c r="F1" s="4" t="inlineStr">
        <is>
          <t>Seguidores</t>
        </is>
      </c>
      <c r="G1" s="4" t="inlineStr">
        <is>
          <t>Posts na conta</t>
        </is>
      </c>
      <c r="H1" s="4" t="inlineStr">
        <is>
          <t>Posts extraídos (tabela media / posts)</t>
        </is>
      </c>
      <c r="I1" s="4" t="inlineStr">
        <is>
          <t>Tabelas com linhas</t>
        </is>
      </c>
      <c r="J1" s="4" t="inlineStr">
        <is>
          <t>Tabelas não materializadas</t>
        </is>
      </c>
      <c r="K1" s="4" t="inlineStr">
        <is>
          <t>Última execução</t>
        </is>
      </c>
      <c r="L1" s="4" t="inlineStr">
        <is>
          <t>Gatilho</t>
        </is>
      </c>
      <c r="M1" s="4" t="inlineStr">
        <is>
          <t>Situação</t>
        </is>
      </c>
    </row>
    <row r="2">
      <c r="A2" s="5" t="inlineStr">
        <is>
          <t>Instagram</t>
        </is>
      </c>
      <c r="B2" s="5" t="inlineStr">
        <is>
          <t>Instagram - Braga Motors - SM</t>
        </is>
      </c>
      <c r="C2" s="5" t="inlineStr">
        <is>
          <t>instagram-CfH8</t>
        </is>
      </c>
      <c r="D2" s="5" t="inlineStr">
        <is>
          <t>vanguardamartech_braga_motors_instagram</t>
        </is>
      </c>
      <c r="E2" s="5" t="inlineStr">
        <is>
          <t>bragamotors.bmw</t>
        </is>
      </c>
      <c r="F2" s="5" t="n">
        <v>781</v>
      </c>
      <c r="G2" s="5" t="n">
        <v>437</v>
      </c>
      <c r="H2" s="5" t="n">
        <v>9</v>
      </c>
      <c r="I2" s="5" t="inlineStr">
        <is>
          <t>12 de 15</t>
        </is>
      </c>
      <c r="J2" s="5" t="n">
        <v>1</v>
      </c>
      <c r="K2" s="5" t="inlineStr">
        <is>
          <t>success</t>
        </is>
      </c>
      <c r="L2" s="5" t="inlineStr">
        <is>
          <t>manual</t>
        </is>
      </c>
      <c r="M2" s="5" t="inlineStr">
        <is>
          <t>Conectada — extração mínima</t>
        </is>
      </c>
    </row>
    <row r="3">
      <c r="A3" s="5" t="inlineStr">
        <is>
          <t>Instagram</t>
        </is>
      </c>
      <c r="B3" s="5" t="inlineStr">
        <is>
          <t>Instagram - Braga Acessorios - SM</t>
        </is>
      </c>
      <c r="C3" s="5" t="inlineStr">
        <is>
          <t>instagram-IZTB</t>
        </is>
      </c>
      <c r="D3" s="5" t="inlineStr">
        <is>
          <t>vanguardamartech_braga_acessorios_instagram</t>
        </is>
      </c>
      <c r="E3" s="5" t="inlineStr">
        <is>
          <t>bragaacessorios.cidadenova</t>
        </is>
      </c>
      <c r="F3" s="5" t="n">
        <v>3658</v>
      </c>
      <c r="G3" s="5" t="n">
        <v>438</v>
      </c>
      <c r="H3" s="5" t="n">
        <v>7</v>
      </c>
      <c r="I3" s="5" t="inlineStr">
        <is>
          <t>12 de 15</t>
        </is>
      </c>
      <c r="J3" s="5" t="n">
        <v>1</v>
      </c>
      <c r="K3" s="5" t="inlineStr">
        <is>
          <t>success</t>
        </is>
      </c>
      <c r="L3" s="5" t="inlineStr">
        <is>
          <t>manual</t>
        </is>
      </c>
      <c r="M3" s="5" t="inlineStr">
        <is>
          <t>Conectada — extração mínima</t>
        </is>
      </c>
    </row>
    <row r="4">
      <c r="A4" s="5" t="inlineStr">
        <is>
          <t>Instagram</t>
        </is>
      </c>
      <c r="B4" s="5" t="inlineStr">
        <is>
          <t>Instagram - BAP - SM</t>
        </is>
      </c>
      <c r="C4" s="5" t="inlineStr">
        <is>
          <t>instagram-bv3u</t>
        </is>
      </c>
      <c r="D4" s="5" t="inlineStr">
        <is>
          <t>vanguardamartech_bap_instagram</t>
        </is>
      </c>
      <c r="E4" s="5" t="inlineStr">
        <is>
          <t>bapautoparts</t>
        </is>
      </c>
      <c r="F4" s="5" t="n">
        <v>1113</v>
      </c>
      <c r="G4" s="5" t="n">
        <v>101</v>
      </c>
      <c r="H4" s="5" t="n">
        <v>2</v>
      </c>
      <c r="I4" s="5" t="inlineStr">
        <is>
          <t>12 de 15</t>
        </is>
      </c>
      <c r="J4" s="5" t="n">
        <v>1</v>
      </c>
      <c r="K4" s="5" t="inlineStr">
        <is>
          <t>success</t>
        </is>
      </c>
      <c r="L4" s="5" t="inlineStr">
        <is>
          <t>manual</t>
        </is>
      </c>
      <c r="M4" s="5" t="inlineStr">
        <is>
          <t>Conectada — extração mínima</t>
        </is>
      </c>
    </row>
    <row r="5">
      <c r="A5" s="5" t="inlineStr">
        <is>
          <t>Instagram</t>
        </is>
      </c>
      <c r="B5" s="5" t="inlineStr">
        <is>
          <t>Instagram - Bajaj - SM</t>
        </is>
      </c>
      <c r="C5" s="5" t="inlineStr">
        <is>
          <t>instagram-209E</t>
        </is>
      </c>
      <c r="D5" s="5" t="inlineStr">
        <is>
          <t>vanguardamartech_bajaj_instagram</t>
        </is>
      </c>
      <c r="E5" s="5" t="inlineStr">
        <is>
          <t>bajajmanausvega</t>
        </is>
      </c>
      <c r="F5" s="5" t="n">
        <v>9442</v>
      </c>
      <c r="G5" s="5" t="n">
        <v>500</v>
      </c>
      <c r="H5" s="5" t="n">
        <v>1</v>
      </c>
      <c r="I5" s="5" t="inlineStr">
        <is>
          <t>12 de 15</t>
        </is>
      </c>
      <c r="J5" s="5" t="n">
        <v>1</v>
      </c>
      <c r="K5" s="5" t="inlineStr">
        <is>
          <t>success</t>
        </is>
      </c>
      <c r="L5" s="5" t="inlineStr">
        <is>
          <t>manual</t>
        </is>
      </c>
      <c r="M5" s="5" t="inlineStr">
        <is>
          <t>Conectada — extração mínima</t>
        </is>
      </c>
    </row>
    <row r="6">
      <c r="A6" s="5" t="inlineStr">
        <is>
          <t>Instagram</t>
        </is>
      </c>
      <c r="B6" s="5" t="inlineStr">
        <is>
          <t>Instagram - BA Eletrica - SM</t>
        </is>
      </c>
      <c r="C6" s="5" t="inlineStr">
        <is>
          <t>instagram-JJJ4</t>
        </is>
      </c>
      <c r="D6" s="5" t="inlineStr">
        <is>
          <t>vanguardamartech_ba_eletrica_instagram</t>
        </is>
      </c>
      <c r="E6" s="5" t="inlineStr">
        <is>
          <t>baeletrica</t>
        </is>
      </c>
      <c r="F6" s="5" t="n">
        <v>34603</v>
      </c>
      <c r="G6" s="5" t="n">
        <v>4278</v>
      </c>
      <c r="H6" s="5" t="n">
        <v>8</v>
      </c>
      <c r="I6" s="5" t="inlineStr">
        <is>
          <t>14 de 15</t>
        </is>
      </c>
      <c r="J6" s="5" t="n">
        <v>1</v>
      </c>
      <c r="K6" s="5" t="inlineStr">
        <is>
          <t>success</t>
        </is>
      </c>
      <c r="L6" s="5" t="inlineStr">
        <is>
          <t>manual</t>
        </is>
      </c>
      <c r="M6" s="5" t="inlineStr">
        <is>
          <t>Conectada — extração mínima</t>
        </is>
      </c>
    </row>
    <row r="7">
      <c r="A7" s="5" t="inlineStr">
        <is>
          <t>Instagram</t>
        </is>
      </c>
      <c r="B7" s="5" t="inlineStr">
        <is>
          <t>Instagram - Automaster - SM</t>
        </is>
      </c>
      <c r="C7" s="5" t="inlineStr">
        <is>
          <t>instagram-rdCK</t>
        </is>
      </c>
      <c r="D7" s="5" t="inlineStr">
        <is>
          <t>vanguardamartech_automaster_instagram</t>
        </is>
      </c>
      <c r="E7" s="5" t="inlineStr">
        <is>
          <t>consorciochevroletmanaus</t>
        </is>
      </c>
      <c r="F7" s="5" t="n">
        <v>7658</v>
      </c>
      <c r="G7" s="5" t="n">
        <v>196</v>
      </c>
      <c r="H7" s="5" t="n">
        <v>0</v>
      </c>
      <c r="I7" s="5" t="inlineStr">
        <is>
          <t>10 de 15</t>
        </is>
      </c>
      <c r="J7" s="5" t="n">
        <v>4</v>
      </c>
      <c r="K7" s="5" t="inlineStr">
        <is>
          <t>success</t>
        </is>
      </c>
      <c r="L7" s="5" t="inlineStr">
        <is>
          <t>manual</t>
        </is>
      </c>
      <c r="M7" s="5" t="inlineStr">
        <is>
          <t>Conectada — extração mínima</t>
        </is>
      </c>
    </row>
    <row r="8">
      <c r="A8" s="5" t="inlineStr">
        <is>
          <t>Instagram</t>
        </is>
      </c>
      <c r="B8" s="5" t="inlineStr">
        <is>
          <t>Instagram - AMZ Geradores - SM</t>
        </is>
      </c>
      <c r="C8" s="5" t="inlineStr">
        <is>
          <t>instagram-gWSW</t>
        </is>
      </c>
      <c r="D8" s="5" t="inlineStr">
        <is>
          <t>vanguardamartech_amz_geradores_instagram</t>
        </is>
      </c>
      <c r="E8" s="5" t="inlineStr">
        <is>
          <t>amzgeradores</t>
        </is>
      </c>
      <c r="F8" s="5" t="n">
        <v>2983</v>
      </c>
      <c r="G8" s="5" t="n">
        <v>543</v>
      </c>
      <c r="H8" s="5" t="n">
        <v>1</v>
      </c>
      <c r="I8" s="5" t="inlineStr">
        <is>
          <t>12 de 15</t>
        </is>
      </c>
      <c r="J8" s="5" t="n">
        <v>1</v>
      </c>
      <c r="K8" s="5" t="inlineStr">
        <is>
          <t>success</t>
        </is>
      </c>
      <c r="L8" s="5" t="inlineStr">
        <is>
          <t>manual</t>
        </is>
      </c>
      <c r="M8" s="5" t="inlineStr">
        <is>
          <t>Conectada — extração mínima</t>
        </is>
      </c>
    </row>
    <row r="9">
      <c r="A9" s="5" t="inlineStr">
        <is>
          <t>Instagram</t>
        </is>
      </c>
      <c r="B9" s="5" t="inlineStr">
        <is>
          <t>Instagram - Amazoncopy - SM</t>
        </is>
      </c>
      <c r="C9" s="5" t="inlineStr">
        <is>
          <t>instagram-K8dK</t>
        </is>
      </c>
      <c r="D9" s="5" t="inlineStr">
        <is>
          <t>vanguardamartech_amazoncopy_instagram</t>
        </is>
      </c>
      <c r="E9" s="5" t="inlineStr">
        <is>
          <t>amazonascopiadoras</t>
        </is>
      </c>
      <c r="F9" s="5" t="n">
        <v>3419</v>
      </c>
      <c r="G9" s="5" t="n">
        <v>751</v>
      </c>
      <c r="H9" s="5" t="n">
        <v>2</v>
      </c>
      <c r="I9" s="5" t="inlineStr">
        <is>
          <t>12 de 15</t>
        </is>
      </c>
      <c r="J9" s="5" t="n">
        <v>1</v>
      </c>
      <c r="K9" s="5" t="inlineStr">
        <is>
          <t>success</t>
        </is>
      </c>
      <c r="L9" s="5" t="inlineStr">
        <is>
          <t>manual</t>
        </is>
      </c>
      <c r="M9" s="5" t="inlineStr">
        <is>
          <t>Conectada — extração mínima</t>
        </is>
      </c>
    </row>
    <row r="10">
      <c r="A10" s="5" t="inlineStr">
        <is>
          <t>Instagram</t>
        </is>
      </c>
      <c r="B10" s="5" t="inlineStr">
        <is>
          <t>Instagram - Amazon Open Mall - SM</t>
        </is>
      </c>
      <c r="C10" s="5" t="inlineStr">
        <is>
          <t>instagram-CeJD</t>
        </is>
      </c>
      <c r="D10" s="5" t="inlineStr">
        <is>
          <t>vanguardamartech_amazon_open_mall_instagram</t>
        </is>
      </c>
      <c r="E10" s="5" t="inlineStr">
        <is>
          <t>amazon_openmall</t>
        </is>
      </c>
      <c r="F10" s="5" t="n">
        <v>12976</v>
      </c>
      <c r="G10" s="5" t="n">
        <v>263</v>
      </c>
      <c r="H10" s="5" t="n">
        <v>1</v>
      </c>
      <c r="I10" s="5" t="inlineStr">
        <is>
          <t>12 de 15</t>
        </is>
      </c>
      <c r="J10" s="5" t="n">
        <v>1</v>
      </c>
      <c r="K10" s="5" t="inlineStr">
        <is>
          <t>success</t>
        </is>
      </c>
      <c r="L10" s="5" t="inlineStr">
        <is>
          <t>manual</t>
        </is>
      </c>
      <c r="M10" s="5" t="inlineStr">
        <is>
          <t>Conectada — extração mínima</t>
        </is>
      </c>
    </row>
    <row r="11">
      <c r="A11" s="5" t="inlineStr">
        <is>
          <t>Instagram</t>
        </is>
      </c>
      <c r="B11" s="5" t="inlineStr">
        <is>
          <t>Instagram - Acesso Saúde - SM</t>
        </is>
      </c>
      <c r="C11" s="5" t="inlineStr">
        <is>
          <t>instagram-Wajn</t>
        </is>
      </c>
      <c r="D11" s="5" t="inlineStr">
        <is>
          <t>vanguardamartech_acesso_saude_instagram</t>
        </is>
      </c>
      <c r="E11" s="5" t="inlineStr">
        <is>
          <t>acessosaudemanaus</t>
        </is>
      </c>
      <c r="F11" s="5" t="n">
        <v>58082</v>
      </c>
      <c r="G11" s="5" t="n">
        <v>1886</v>
      </c>
      <c r="H11" s="5" t="n">
        <v>6</v>
      </c>
      <c r="I11" s="5" t="inlineStr">
        <is>
          <t>12 de 15</t>
        </is>
      </c>
      <c r="J11" s="5" t="n">
        <v>1</v>
      </c>
      <c r="K11" s="5" t="inlineStr">
        <is>
          <t>success</t>
        </is>
      </c>
      <c r="L11" s="5" t="inlineStr">
        <is>
          <t>manual</t>
        </is>
      </c>
      <c r="M11" s="5" t="inlineStr">
        <is>
          <t>Conectada — extração mínima</t>
        </is>
      </c>
    </row>
    <row r="12">
      <c r="A12" s="5" t="inlineStr">
        <is>
          <t>Instagram</t>
        </is>
      </c>
      <c r="B12" s="5" t="inlineStr">
        <is>
          <t>Instagram - AC Display - SM</t>
        </is>
      </c>
      <c r="C12" s="5" t="inlineStr">
        <is>
          <t>instagram-oMgW</t>
        </is>
      </c>
      <c r="D12" s="5" t="inlineStr">
        <is>
          <t>vanguardamartech_ac_display_instagram</t>
        </is>
      </c>
      <c r="E12" s="5" t="inlineStr">
        <is>
          <t>acdisplay</t>
        </is>
      </c>
      <c r="F12" s="5" t="n">
        <v>1041</v>
      </c>
      <c r="G12" s="5" t="n">
        <v>239</v>
      </c>
      <c r="H12" s="5" t="n">
        <v>2</v>
      </c>
      <c r="I12" s="5" t="inlineStr">
        <is>
          <t>12 de 15</t>
        </is>
      </c>
      <c r="J12" s="5" t="n">
        <v>1</v>
      </c>
      <c r="K12" s="5" t="inlineStr">
        <is>
          <t>success</t>
        </is>
      </c>
      <c r="L12" s="5" t="inlineStr">
        <is>
          <t>manual</t>
        </is>
      </c>
      <c r="M12" s="5" t="inlineStr">
        <is>
          <t>Conectada — extração mínima</t>
        </is>
      </c>
    </row>
    <row r="13">
      <c r="A13" s="5" t="inlineStr">
        <is>
          <t>Facebook Pages</t>
        </is>
      </c>
      <c r="B13" s="5" t="inlineStr">
        <is>
          <t>Facebook - Braga Veiculos VD</t>
        </is>
      </c>
      <c r="C13" s="5" t="inlineStr">
        <is>
          <t>facebook-pages-GyYt</t>
        </is>
      </c>
      <c r="D13" s="5" t="inlineStr">
        <is>
          <t>vanguardamartech_braga_veiculos_venda_direta_facebook</t>
        </is>
      </c>
      <c r="E13" s="5" t="inlineStr">
        <is>
          <t>Braga Veículos - Venda Direta</t>
        </is>
      </c>
      <c r="F13" s="5" t="n"/>
      <c r="G13" s="5" t="n"/>
      <c r="H13" s="5" t="n">
        <v>0</v>
      </c>
      <c r="I13" s="5" t="inlineStr">
        <is>
          <t>3 de 8</t>
        </is>
      </c>
      <c r="J13" s="5" t="n">
        <v>0</v>
      </c>
      <c r="K13" s="5" t="inlineStr">
        <is>
          <t>success</t>
        </is>
      </c>
      <c r="L13" s="5" t="inlineStr">
        <is>
          <t>manual</t>
        </is>
      </c>
      <c r="M13" s="5" t="inlineStr">
        <is>
          <t>Conectada — dado presente</t>
        </is>
      </c>
    </row>
    <row r="14">
      <c r="A14" s="5" t="inlineStr">
        <is>
          <t>Facebook Pages</t>
        </is>
      </c>
      <c r="B14" s="5" t="inlineStr">
        <is>
          <t>Facebook - Braga Veículos Varejo e Pós-venda</t>
        </is>
      </c>
      <c r="C14" s="5" t="inlineStr">
        <is>
          <t>facebook-pages-nKAw</t>
        </is>
      </c>
      <c r="D14" s="5" t="inlineStr">
        <is>
          <t>vanguardamartech_braga_veiculos_varejo_e_vd_facebook</t>
        </is>
      </c>
      <c r="E14" s="5" t="inlineStr">
        <is>
          <t>Braga Veículos; 1 falha anterior em 2026-10-15T00:50:59</t>
        </is>
      </c>
      <c r="F14" s="5" t="n"/>
      <c r="G14" s="5" t="n"/>
      <c r="H14" s="5" t="n">
        <v>1</v>
      </c>
      <c r="I14" s="5" t="inlineStr">
        <is>
          <t>7 de 8</t>
        </is>
      </c>
      <c r="J14" s="5" t="n">
        <v>0</v>
      </c>
      <c r="K14" s="5" t="inlineStr">
        <is>
          <t>success</t>
        </is>
      </c>
      <c r="L14" s="5" t="inlineStr">
        <is>
          <t>manual</t>
        </is>
      </c>
      <c r="M14" s="5" t="inlineStr">
        <is>
          <t>Conectada — dado presente</t>
        </is>
      </c>
    </row>
    <row r="15">
      <c r="A15" s="5" t="inlineStr">
        <is>
          <t>Facebook Pages</t>
        </is>
      </c>
      <c r="B15" s="5" t="inlineStr">
        <is>
          <t>Facebook - Braga Acessorios</t>
        </is>
      </c>
      <c r="C15" s="5" t="inlineStr">
        <is>
          <t>facebook-pages-l1QS</t>
        </is>
      </c>
      <c r="D15" s="5" t="inlineStr">
        <is>
          <t>vanguardamartech_braga_acessorios_facebook</t>
        </is>
      </c>
      <c r="E15" s="5" t="inlineStr">
        <is>
          <t>Braga Acessórios MAO</t>
        </is>
      </c>
      <c r="F15" s="5" t="n"/>
      <c r="G15" s="5" t="n"/>
      <c r="H15" s="5" t="n">
        <v>0</v>
      </c>
      <c r="I15" s="5" t="inlineStr">
        <is>
          <t>3 de 8</t>
        </is>
      </c>
      <c r="J15" s="5" t="n">
        <v>0</v>
      </c>
      <c r="K15" s="5" t="inlineStr">
        <is>
          <t>success</t>
        </is>
      </c>
      <c r="L15" s="5" t="inlineStr">
        <is>
          <t>manual</t>
        </is>
      </c>
      <c r="M15" s="5" t="inlineStr">
        <is>
          <t>Conectada — dado presente</t>
        </is>
      </c>
    </row>
    <row r="16">
      <c r="A16" s="5" t="inlineStr">
        <is>
          <t>Facebook Pages</t>
        </is>
      </c>
      <c r="B16" s="5" t="inlineStr">
        <is>
          <t>Facebook Linvest</t>
        </is>
      </c>
      <c r="C16" s="5" t="inlineStr">
        <is>
          <t>facebook-pages-KJVl</t>
        </is>
      </c>
      <c r="D16" s="5" t="inlineStr">
        <is>
          <t>vanguardamartech_linvest_facebook</t>
        </is>
      </c>
      <c r="E16" s="5" t="inlineStr">
        <is>
          <t>Linvest</t>
        </is>
      </c>
      <c r="F16" s="5" t="n"/>
      <c r="G16" s="5" t="n"/>
      <c r="H16" s="5" t="n">
        <v>1</v>
      </c>
      <c r="I16" s="5" t="inlineStr">
        <is>
          <t>6 de 8</t>
        </is>
      </c>
      <c r="J16" s="5" t="n">
        <v>0</v>
      </c>
      <c r="K16" s="5" t="inlineStr">
        <is>
          <t>success</t>
        </is>
      </c>
      <c r="L16" s="5" t="inlineStr">
        <is>
          <t>manual</t>
        </is>
      </c>
      <c r="M16" s="5" t="inlineStr">
        <is>
          <t>Conectada — dado presente</t>
        </is>
      </c>
    </row>
    <row r="17">
      <c r="A17" s="5" t="inlineStr">
        <is>
          <t>Facebook Pages</t>
        </is>
      </c>
      <c r="B17" s="5" t="inlineStr">
        <is>
          <t>Facebook Steel port</t>
        </is>
      </c>
      <c r="C17" s="5" t="inlineStr">
        <is>
          <t>facebook-pages-NnRq</t>
        </is>
      </c>
      <c r="D17" s="5" t="inlineStr">
        <is>
          <t>vanguardamartech_steel_port_facebook</t>
        </is>
      </c>
      <c r="E17" s="5" t="inlineStr">
        <is>
          <t>Steel Port</t>
        </is>
      </c>
      <c r="F17" s="5" t="n"/>
      <c r="G17" s="5" t="n"/>
      <c r="H17" s="5" t="n">
        <v>1</v>
      </c>
      <c r="I17" s="5" t="inlineStr">
        <is>
          <t>6 de 8</t>
        </is>
      </c>
      <c r="J17" s="5" t="n">
        <v>0</v>
      </c>
      <c r="K17" s="5" t="inlineStr">
        <is>
          <t>success</t>
        </is>
      </c>
      <c r="L17" s="5" t="inlineStr">
        <is>
          <t>manual</t>
        </is>
      </c>
      <c r="M17" s="5" t="inlineStr">
        <is>
          <t>Conectada — dado presente</t>
        </is>
      </c>
    </row>
    <row r="18">
      <c r="A18" s="5" t="inlineStr">
        <is>
          <t>Facebook Pages</t>
        </is>
      </c>
      <c r="B18" s="5" t="inlineStr">
        <is>
          <t>Facebook Hage</t>
        </is>
      </c>
      <c r="C18" s="5" t="inlineStr">
        <is>
          <t>facebook-pages-9O6v</t>
        </is>
      </c>
      <c r="D18" s="5" t="inlineStr">
        <is>
          <t>vanguardamartech_hage_facebook</t>
        </is>
      </c>
      <c r="E18" s="5" t="inlineStr">
        <is>
          <t>Grupo Hage</t>
        </is>
      </c>
      <c r="F18" s="5" t="n"/>
      <c r="G18" s="5" t="n"/>
      <c r="H18" s="5" t="n">
        <v>1</v>
      </c>
      <c r="I18" s="5" t="inlineStr">
        <is>
          <t>6 de 8</t>
        </is>
      </c>
      <c r="J18" s="5" t="n">
        <v>0</v>
      </c>
      <c r="K18" s="5" t="inlineStr">
        <is>
          <t>success</t>
        </is>
      </c>
      <c r="L18" s="5" t="inlineStr">
        <is>
          <t>manual</t>
        </is>
      </c>
      <c r="M18" s="5" t="inlineStr">
        <is>
          <t>Conectada — dado presente</t>
        </is>
      </c>
    </row>
    <row r="19">
      <c r="A19" s="5" t="inlineStr">
        <is>
          <t>Facebook Pages</t>
        </is>
      </c>
      <c r="B19" s="5" t="inlineStr">
        <is>
          <t>Facebook - Vbot</t>
        </is>
      </c>
      <c r="C19" s="5" t="inlineStr">
        <is>
          <t>facebook-pages-hZNd</t>
        </is>
      </c>
      <c r="D19" s="5" t="inlineStr">
        <is>
          <t>vanguardamartech_vbot_facebook</t>
        </is>
      </c>
      <c r="E19" s="5" t="inlineStr">
        <is>
          <t>Vbot.app</t>
        </is>
      </c>
      <c r="F19" s="5" t="n"/>
      <c r="G19" s="5" t="n"/>
      <c r="H19" s="5" t="n">
        <v>0</v>
      </c>
      <c r="I19" s="5" t="inlineStr">
        <is>
          <t>3 de 8</t>
        </is>
      </c>
      <c r="J19" s="5" t="n">
        <v>0</v>
      </c>
      <c r="K19" s="5" t="inlineStr">
        <is>
          <t>success</t>
        </is>
      </c>
      <c r="L19" s="5" t="inlineStr">
        <is>
          <t>manual</t>
        </is>
      </c>
      <c r="M19" s="5" t="inlineStr">
        <is>
          <t>Conectada — dado presente</t>
        </is>
      </c>
    </row>
    <row r="20">
      <c r="A20" s="5" t="inlineStr">
        <is>
          <t>Facebook Pages</t>
        </is>
      </c>
      <c r="B20" s="5" t="inlineStr">
        <is>
          <t>Facebook Amazon Open Mall</t>
        </is>
      </c>
      <c r="C20" s="5" t="inlineStr">
        <is>
          <t>facebook-pages-qhR9</t>
        </is>
      </c>
      <c r="D20" s="5" t="inlineStr">
        <is>
          <t>vanguardamartech_amazon_open_mall_facebook</t>
        </is>
      </c>
      <c r="E20" s="5" t="inlineStr">
        <is>
          <t>Amazon Open Mall</t>
        </is>
      </c>
      <c r="F20" s="5" t="n"/>
      <c r="G20" s="5" t="n"/>
      <c r="H20" s="5" t="n">
        <v>1</v>
      </c>
      <c r="I20" s="5" t="inlineStr">
        <is>
          <t>6 de 8</t>
        </is>
      </c>
      <c r="J20" s="5" t="n">
        <v>0</v>
      </c>
      <c r="K20" s="5" t="inlineStr">
        <is>
          <t>success</t>
        </is>
      </c>
      <c r="L20" s="5" t="inlineStr">
        <is>
          <t>manual</t>
        </is>
      </c>
      <c r="M20" s="5" t="inlineStr">
        <is>
          <t>Conectada — dado presente</t>
        </is>
      </c>
    </row>
    <row r="21">
      <c r="A21" s="5" t="inlineStr">
        <is>
          <t>Facebook Pages</t>
        </is>
      </c>
      <c r="B21" s="5" t="inlineStr">
        <is>
          <t>Facebook AC Display</t>
        </is>
      </c>
      <c r="C21" s="5" t="inlineStr">
        <is>
          <t>facebook-pages-QnG2</t>
        </is>
      </c>
      <c r="D21" s="5" t="inlineStr">
        <is>
          <t>vanguardamartech_acdisplay_facebook</t>
        </is>
      </c>
      <c r="E21" s="5" t="inlineStr">
        <is>
          <t>AC Display</t>
        </is>
      </c>
      <c r="F21" s="5" t="n"/>
      <c r="G21" s="5" t="n"/>
      <c r="H21" s="5" t="n">
        <v>1</v>
      </c>
      <c r="I21" s="5" t="inlineStr">
        <is>
          <t>6 de 8</t>
        </is>
      </c>
      <c r="J21" s="5" t="n">
        <v>0</v>
      </c>
      <c r="K21" s="5" t="inlineStr">
        <is>
          <t>success</t>
        </is>
      </c>
      <c r="L21" s="5" t="inlineStr">
        <is>
          <t>manual</t>
        </is>
      </c>
      <c r="M21" s="5" t="inlineStr">
        <is>
          <t>Conectada — dado presente</t>
        </is>
      </c>
    </row>
    <row r="22">
      <c r="A22" s="5" t="inlineStr">
        <is>
          <t>Facebook Pages</t>
        </is>
      </c>
      <c r="B22" s="5" t="inlineStr">
        <is>
          <t>Facebook BAP</t>
        </is>
      </c>
      <c r="C22" s="5" t="inlineStr">
        <is>
          <t>facebook-pages-9q2u</t>
        </is>
      </c>
      <c r="D22" s="5" t="inlineStr">
        <is>
          <t>vanguardamartech_bap_facebook</t>
        </is>
      </c>
      <c r="E22" s="5" t="inlineStr">
        <is>
          <t>BAP AUTO PARTS</t>
        </is>
      </c>
      <c r="F22" s="5" t="n"/>
      <c r="G22" s="5" t="n"/>
      <c r="H22" s="5" t="n">
        <v>0</v>
      </c>
      <c r="I22" s="5" t="inlineStr">
        <is>
          <t>3 de 8</t>
        </is>
      </c>
      <c r="J22" s="5" t="n">
        <v>0</v>
      </c>
      <c r="K22" s="5" t="inlineStr">
        <is>
          <t>success</t>
        </is>
      </c>
      <c r="L22" s="5" t="inlineStr">
        <is>
          <t>manual</t>
        </is>
      </c>
      <c r="M22" s="5" t="inlineStr">
        <is>
          <t>Conectada — dado presente</t>
        </is>
      </c>
    </row>
    <row r="23">
      <c r="A23" s="5" t="inlineStr">
        <is>
          <t>Facebook Pages</t>
        </is>
      </c>
      <c r="B23" s="5" t="inlineStr">
        <is>
          <t>Facebook de Acesso Saúde</t>
        </is>
      </c>
      <c r="C23" s="5" t="inlineStr">
        <is>
          <t>facebook-pages-c7VF</t>
        </is>
      </c>
      <c r="D23" s="5" t="inlineStr">
        <is>
          <t>vanguardamartech_acesso_saude_facebook</t>
        </is>
      </c>
      <c r="E23" s="5" t="inlineStr">
        <is>
          <t>Acesso Saúde - Manaus</t>
        </is>
      </c>
      <c r="F23" s="5" t="n"/>
      <c r="G23" s="5" t="n"/>
      <c r="H23" s="5" t="n">
        <v>1</v>
      </c>
      <c r="I23" s="5" t="inlineStr">
        <is>
          <t>7 de 8</t>
        </is>
      </c>
      <c r="J23" s="5" t="n">
        <v>0</v>
      </c>
      <c r="K23" s="5" t="inlineStr">
        <is>
          <t>success</t>
        </is>
      </c>
      <c r="L23" s="5" t="inlineStr">
        <is>
          <t>manual</t>
        </is>
      </c>
      <c r="M23" s="5" t="inlineStr">
        <is>
          <t>Conectada — dado presente</t>
        </is>
      </c>
    </row>
    <row r="24">
      <c r="A24" s="5" t="inlineStr">
        <is>
          <t>Facebook Pages</t>
        </is>
      </c>
      <c r="B24" s="5" t="inlineStr">
        <is>
          <t>Facebook - Animativ</t>
        </is>
      </c>
      <c r="C24" s="5" t="inlineStr">
        <is>
          <t>facebook-pages-Xedv</t>
        </is>
      </c>
      <c r="D24" s="5" t="inlineStr">
        <is>
          <t>vanguardamartech_animativ_facebook</t>
        </is>
      </c>
      <c r="E24" s="5" t="inlineStr">
        <is>
          <t>Animativ Vitaminas</t>
        </is>
      </c>
      <c r="F24" s="5" t="n"/>
      <c r="G24" s="5" t="n"/>
      <c r="H24" s="5" t="n">
        <v>0</v>
      </c>
      <c r="I24" s="5" t="inlineStr">
        <is>
          <t>3 de 8</t>
        </is>
      </c>
      <c r="J24" s="5" t="n">
        <v>0</v>
      </c>
      <c r="K24" s="5" t="inlineStr">
        <is>
          <t>success</t>
        </is>
      </c>
      <c r="L24" s="5" t="inlineStr">
        <is>
          <t>manual</t>
        </is>
      </c>
      <c r="M24" s="5" t="inlineStr">
        <is>
          <t>Conectada — dado presente</t>
        </is>
      </c>
    </row>
    <row r="25">
      <c r="A25" s="5" t="inlineStr">
        <is>
          <t>Facebook Pages</t>
        </is>
      </c>
      <c r="B25" s="5" t="inlineStr">
        <is>
          <t>Facebook Vanguarda</t>
        </is>
      </c>
      <c r="C25" s="5" t="inlineStr">
        <is>
          <t>facebook-pages-PPsY</t>
        </is>
      </c>
      <c r="D25" s="5" t="inlineStr">
        <is>
          <t>(não identificada)</t>
        </is>
      </c>
      <c r="E25" s="5" t="inlineStr"/>
      <c r="F25" s="5" t="n"/>
      <c r="G25" s="5" t="n"/>
      <c r="H25" s="5" t="n"/>
      <c r="I25" s="5" t="inlineStr">
        <is>
          <t>0 de 1</t>
        </is>
      </c>
      <c r="J25" s="5" t="n">
        <v>0</v>
      </c>
      <c r="K25" s="5" t="inlineStr">
        <is>
          <t>success</t>
        </is>
      </c>
      <c r="L25" s="5" t="inlineStr">
        <is>
          <t>manual</t>
        </is>
      </c>
      <c r="M25" s="5" t="inlineStr">
        <is>
          <t>Conectada — sem camada identificada, não medida</t>
        </is>
      </c>
    </row>
    <row r="26">
      <c r="A26" s="5" t="inlineStr">
        <is>
          <t>Facebook Pages</t>
        </is>
      </c>
      <c r="B26" s="5" t="inlineStr">
        <is>
          <t>Fonte das páginas do facebook dos clientes</t>
        </is>
      </c>
      <c r="C26" s="5" t="inlineStr">
        <is>
          <t>facebook-pages-ftS8</t>
        </is>
      </c>
      <c r="D26" s="5" t="inlineStr">
        <is>
          <t>(não identificada)</t>
        </is>
      </c>
      <c r="E26" s="5" t="inlineStr"/>
      <c r="F26" s="5" t="n"/>
      <c r="G26" s="5" t="n"/>
      <c r="H26" s="5" t="n"/>
      <c r="I26" s="5" t="inlineStr">
        <is>
          <t>0 de 1</t>
        </is>
      </c>
      <c r="J26" s="5" t="n">
        <v>0</v>
      </c>
      <c r="K26" s="5" t="inlineStr">
        <is>
          <t>success</t>
        </is>
      </c>
      <c r="L26" s="5" t="inlineStr">
        <is>
          <t>manual</t>
        </is>
      </c>
      <c r="M26" s="5" t="inlineStr">
        <is>
          <t>Conectada — sem camada identificada, não medida</t>
        </is>
      </c>
    </row>
    <row r="27">
      <c r="A27" s="5" t="inlineStr">
        <is>
          <t>Instagram</t>
        </is>
      </c>
      <c r="B27" s="5" t="inlineStr">
        <is>
          <t>Instagram - Braga Veiculos Venda Direta - SM</t>
        </is>
      </c>
      <c r="C27" s="5" t="inlineStr">
        <is>
          <t>instagram-wRZ1</t>
        </is>
      </c>
      <c r="D27" s="5" t="inlineStr"/>
      <c r="E27" s="5" t="inlineStr"/>
      <c r="F27" s="5" t="n"/>
      <c r="G27" s="5" t="n"/>
      <c r="H27" s="5" t="n"/>
      <c r="I27" s="5" t="inlineStr">
        <is>
          <t>—</t>
        </is>
      </c>
      <c r="J27" s="5" t="n">
        <v>0</v>
      </c>
      <c r="K27" s="5" t="inlineStr">
        <is>
          <t>rascunho</t>
        </is>
      </c>
      <c r="L27" s="5" t="inlineStr">
        <is>
          <t>—</t>
        </is>
      </c>
      <c r="M27" s="5" t="inlineStr">
        <is>
          <t>Rascunho (sem execução)</t>
        </is>
      </c>
    </row>
    <row r="29">
      <c r="A29" t="inlineStr">
        <is>
          <t>NOTA 21/10: esta aba lista as 60 fontes medidas em 15–16/10 (12 de Instagram e 48 de Páginas, com a linha de Instagram da época). Em 21/10 há 108 fontes (54 + 54); as 48 acrescentadas não foram medidas quanto a dado nem estão nas Trusted (listas fixas de 12 contas e 48 páginas). Todas manuais.</t>
        </is>
      </c>
    </row>
  </sheetData>
  <autoFilter ref="A1:M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30" customWidth="1" min="4" max="4"/>
    <col width="52" customWidth="1" min="5" max="5"/>
    <col width="26" customWidth="1" min="6" max="6"/>
    <col width="56" customWidth="1" min="7" max="7"/>
  </cols>
  <sheetData>
    <row r="1">
      <c r="A1" s="4" t="inlineStr">
        <is>
          <t>Sistema</t>
        </is>
      </c>
      <c r="B1" s="4" t="inlineStr">
        <is>
          <t>Fonte(s) na Nekt</t>
        </is>
      </c>
      <c r="C1" s="4" t="inlineStr">
        <is>
          <t>Situação</t>
        </is>
      </c>
      <c r="D1" s="4" t="inlineStr">
        <is>
          <t>Cadência</t>
        </is>
      </c>
      <c r="E1" s="4" t="inlineStr">
        <is>
          <t>Dado medido (15/10; iClips: 21/10)</t>
        </is>
      </c>
      <c r="F1" s="4" t="inlineStr">
        <is>
          <t>Camada tratada</t>
        </is>
      </c>
      <c r="G1" s="4" t="inlineStr">
        <is>
          <t>Impedimento</t>
        </is>
      </c>
    </row>
    <row r="2">
      <c r="A2" s="5" t="inlineStr">
        <is>
          <t>VJOB (sistema real, MySQL)</t>
        </is>
      </c>
      <c r="B2" s="5" t="inlineStr">
        <is>
          <t>mysql-yIOn</t>
        </is>
      </c>
      <c r="C2" s="5" t="inlineStr">
        <is>
          <t>Funcional — dado ativo</t>
        </is>
      </c>
      <c r="D2" s="5" t="inlineStr">
        <is>
          <t>domingo 00:00 (+ passadas manuais)</t>
        </is>
      </c>
      <c r="E2" s="5" t="inlineStr">
        <is>
          <t>206.946 escopos, 317 clientes, 2.239 jobs, 10.160 parcelas (carga de 14/10)</t>
        </is>
      </c>
      <c r="F2" s="5" t="inlineStr">
        <is>
          <t>Trusted e Refined</t>
        </is>
      </c>
      <c r="G2" s="5" t="inlineStr">
        <is>
          <t>16 streams com credencial na Raw (decisão de exclusão é da Nekt/backoffice)</t>
        </is>
      </c>
    </row>
    <row r="3">
      <c r="A3" s="5" t="inlineStr">
        <is>
          <t>iClips (projetos, peças, apontamento)</t>
        </is>
      </c>
      <c r="B3" s="5" t="inlineStr">
        <is>
          <t>notebook-Rbpo + rest-api-xk4P (apoio) + rest-api-73hk (projetos)</t>
        </is>
      </c>
      <c r="C3" s="5" t="inlineStr">
        <is>
          <t>Bloqueada</t>
        </is>
      </c>
      <c r="D3" s="5" t="inlineStr">
        <is>
          <t>notebook inativo desde 19/10; apoio diária (falhando); 73hk semanal (falhando)</t>
        </is>
      </c>
      <c r="E3" s="5" t="inlineStr">
        <is>
          <t>12.125 projetos, 134.864 peças, 6.186 apontamentos (última carga de 19/10)</t>
        </is>
      </c>
      <c r="F3" s="5" t="inlineStr">
        <is>
          <t>Trusted e Refined, sem atualização</t>
        </is>
      </c>
      <c r="G3" s="5" t="inlineStr">
        <is>
          <t>API key recusada (401) em 19, 20 e 21/10; 73hk com 3 falhas seguidas e último sucesso em 28/09</t>
        </is>
      </c>
    </row>
    <row r="4">
      <c r="A4" s="5" t="inlineStr">
        <is>
          <t>Conexa (VBOT)</t>
        </is>
      </c>
      <c r="B4" s="5" t="inlineStr">
        <is>
          <t>supabase-x0tz (88 streams)</t>
        </is>
      </c>
      <c r="C4" s="5" t="inlineStr">
        <is>
          <t>Funcional — dado ativo</t>
        </is>
      </c>
      <c r="D4" s="5" t="inlineStr">
        <is>
          <t>diária 01:00</t>
        </is>
      </c>
      <c r="E4" s="5" t="inlineStr">
        <is>
          <t>1.018 cobranças (carga de 15/10)</t>
        </is>
      </c>
      <c r="F4" s="5" t="inlineStr">
        <is>
          <t>Trusted e Refined</t>
        </is>
      </c>
      <c r="G4" s="5" t="inlineStr">
        <is>
          <t>—</t>
        </is>
      </c>
    </row>
    <row r="5">
      <c r="A5" s="5" t="inlineStr">
        <is>
          <t>Conta Azul (razão e espelho)</t>
        </is>
      </c>
      <c r="B5" s="5" t="inlineStr">
        <is>
          <t>supabase-x0tz + mysql-yIOn</t>
        </is>
      </c>
      <c r="C5" s="5" t="inlineStr">
        <is>
          <t>Funcional — dado ativo</t>
        </is>
      </c>
      <c r="D5" s="5" t="inlineStr">
        <is>
          <t>diária / semanal</t>
        </is>
      </c>
      <c r="E5" s="5" t="inlineStr">
        <is>
          <t>7.097 movimentos (carga de 14/10)</t>
        </is>
      </c>
      <c r="F5" s="5" t="inlineStr">
        <is>
          <t>Trusted e Refined</t>
        </is>
      </c>
      <c r="G5" s="5" t="inlineStr">
        <is>
          <t>Razão só tem baixa a partir de 25/05/2026</t>
        </is>
      </c>
    </row>
    <row r="6">
      <c r="A6" s="5" t="inlineStr">
        <is>
          <t>Financeiro (iClips)</t>
        </is>
      </c>
      <c r="B6" s="5" t="inlineStr">
        <is>
          <t>supabase-x0tz</t>
        </is>
      </c>
      <c r="C6" s="5" t="inlineStr">
        <is>
          <t>Funcional — dado ativo</t>
        </is>
      </c>
      <c r="D6" s="5" t="inlineStr">
        <is>
          <t>diária 01:00</t>
        </is>
      </c>
      <c r="E6" s="5" t="inlineStr">
        <is>
          <t>45.154 movimentos (carga de 15/10)</t>
        </is>
      </c>
      <c r="F6" s="5" t="inlineStr">
        <is>
          <t>Trusted e Refined</t>
        </is>
      </c>
      <c r="G6" s="5" t="inlineStr">
        <is>
          <t>Cobre até 2026-05; a partir de junho o razão passou para o Conta Azul</t>
        </is>
      </c>
    </row>
    <row r="7">
      <c r="A7" s="5" t="inlineStr">
        <is>
          <t>PI (pedidos de inserção)</t>
        </is>
      </c>
      <c r="B7" s="5" t="inlineStr">
        <is>
          <t>supabase-x0tz</t>
        </is>
      </c>
      <c r="C7" s="5" t="inlineStr">
        <is>
          <t>Funcional — dado ativo</t>
        </is>
      </c>
      <c r="D7" s="5" t="inlineStr">
        <is>
          <t>diária 01:00</t>
        </is>
      </c>
      <c r="E7" s="5" t="inlineStr">
        <is>
          <t>3.348 PIs (carga de 15/10)</t>
        </is>
      </c>
      <c r="F7" s="5" t="inlineStr">
        <is>
          <t>Trusted e Refined</t>
        </is>
      </c>
      <c r="G7" s="5" t="inlineStr">
        <is>
          <t>—</t>
        </is>
      </c>
    </row>
    <row r="8">
      <c r="A8" s="5" t="inlineStr">
        <is>
          <t>Gmail (2 caixas)</t>
        </is>
      </c>
      <c r="B8" s="5" t="inlineStr">
        <is>
          <t>gmail-cF2Q + gmail-c3ku</t>
        </is>
      </c>
      <c r="C8" s="5" t="inlineStr">
        <is>
          <t>Funcional — dado ativo</t>
        </is>
      </c>
      <c r="D8" s="5" t="inlineStr">
        <is>
          <t>diária 05:00 / semanal</t>
        </is>
      </c>
      <c r="E8" s="5" t="inlineStr">
        <is>
          <t>33.517 mensagens (carga de 15/10)</t>
        </is>
      </c>
      <c r="F8" s="5" t="inlineStr">
        <is>
          <t>Trusted e Refined</t>
        </is>
      </c>
      <c r="G8" s="5" t="inlineStr">
        <is>
          <t>—</t>
        </is>
      </c>
    </row>
    <row r="9">
      <c r="A9" s="5" t="inlineStr">
        <is>
          <t>Linear</t>
        </is>
      </c>
      <c r="B9" s="5" t="inlineStr">
        <is>
          <t>linear-byrt</t>
        </is>
      </c>
      <c r="C9" s="5" t="inlineStr">
        <is>
          <t>Funcional — dado ativo (histórico)</t>
        </is>
      </c>
      <c r="D9" s="5" t="inlineStr">
        <is>
          <t>diária 04:20</t>
        </is>
      </c>
      <c r="E9" s="5" t="inlineStr">
        <is>
          <t>230 issues; última atividade em 01/08/2026</t>
        </is>
      </c>
      <c r="F9" s="5" t="inlineStr">
        <is>
          <t>Trusted e Refined</t>
        </is>
      </c>
      <c r="G9" s="5" t="inlineStr">
        <is>
          <t>A equipe deixou de usar o Linear; o dado é histórico</t>
        </is>
      </c>
    </row>
    <row r="10">
      <c r="A10" s="5" t="inlineStr">
        <is>
          <t>GitHub</t>
        </is>
      </c>
      <c r="B10" s="5" t="inlineStr">
        <is>
          <t>github-2Upt</t>
        </is>
      </c>
      <c r="C10" s="5" t="inlineStr">
        <is>
          <t>Conectada — sem confirmação</t>
        </is>
      </c>
      <c r="D10" s="5" t="inlineStr">
        <is>
          <t>semanal domingo 01:00</t>
        </is>
      </c>
      <c r="E10" s="5" t="inlineStr">
        <is>
          <t>0 linhas (medido em 15/10); execuções com sucesso e nenhum registro (última em 14/10)</t>
        </is>
      </c>
      <c r="F10" s="5" t="inlineStr">
        <is>
          <t>Trusted e Refined existem, sem tabela</t>
        </is>
      </c>
      <c r="G10" s="5" t="inlineStr">
        <is>
          <t>Causa só se vê na interface (lista de repositórios ou data inicial do conector)</t>
        </is>
      </c>
    </row>
    <row r="11">
      <c r="A11" s="5" t="inlineStr">
        <is>
          <t>WhatsApp (Z-API, webhook)</t>
        </is>
      </c>
      <c r="B11" s="5" t="inlineStr">
        <is>
          <t>webhook-v2-nZdJ</t>
        </is>
      </c>
      <c r="C11" s="5" t="inlineStr">
        <is>
          <t>Conectada — sem confirmação</t>
        </is>
      </c>
      <c r="D11" s="5" t="inlineStr">
        <is>
          <t>diária 07:00</t>
        </is>
      </c>
      <c r="E11" s="5" t="inlineStr">
        <is>
          <t>0 linhas (medido em 15/10); vazio desde 28/09</t>
        </is>
      </c>
      <c r="F11" s="5" t="inlineStr">
        <is>
          <t>—</t>
        </is>
      </c>
      <c r="G11" s="5" t="inlineStr">
        <is>
          <t>URL e x-api-key precisam ser configurados na instância da Z-API</t>
        </is>
      </c>
    </row>
    <row r="12">
      <c r="A12" s="5" t="inlineStr">
        <is>
          <t>Semrush</t>
        </is>
      </c>
      <c r="B12" s="5" t="inlineStr">
        <is>
          <t>semrush-OnLY</t>
        </is>
      </c>
      <c r="C12" s="5" t="inlineStr">
        <is>
          <t>Bloqueada</t>
        </is>
      </c>
      <c r="D12" s="5" t="inlineStr">
        <is>
          <t>inativa</t>
        </is>
      </c>
      <c r="E12" s="5" t="inlineStr">
        <is>
          <t>sem sucesso desde sempre (7 falhas)</t>
        </is>
      </c>
      <c r="F12" s="5" t="inlineStr">
        <is>
          <t>—</t>
        </is>
      </c>
      <c r="G12" s="5" t="inlineStr">
        <is>
          <t>Chave de API rejeitada (403 WRONG KEY-ID PAIR)</t>
        </is>
      </c>
    </row>
    <row r="13">
      <c r="A13" s="5" t="inlineStr">
        <is>
          <t>RH (Farol de RH)</t>
        </is>
      </c>
      <c r="B13" s="5" t="inlineStr">
        <is>
          <t>sem fonte</t>
        </is>
      </c>
      <c r="C13" s="5" t="inlineStr">
        <is>
          <t>Sem fonte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trs_rh__colaborador nunca publicada</t>
        </is>
      </c>
      <c r="G13" s="5" t="inlineStr">
        <is>
          <t>Fonte não conectada; desbloqueio é de acesso</t>
        </is>
      </c>
    </row>
    <row r="14">
      <c r="A14" s="5" t="inlineStr">
        <is>
          <t>Qulture</t>
        </is>
      </c>
      <c r="B14" s="5" t="inlineStr">
        <is>
          <t>sem fonte</t>
        </is>
      </c>
      <c r="C14" s="5" t="inlineStr">
        <is>
          <t>Sem fonte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Citado na norma R-001 como sistema interno; nenhuma fonte na Nekt. Confirmar se ainda é necessário</t>
        </is>
      </c>
    </row>
    <row r="15">
      <c r="A15" s="5" t="inlineStr">
        <is>
          <t>Quickin</t>
        </is>
      </c>
      <c r="B15" s="5" t="inlineStr">
        <is>
          <t>sem fonte</t>
        </is>
      </c>
      <c r="C15" s="5" t="inlineStr">
        <is>
          <t>Sem fonte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Idem Qulture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4" customWidth="1" min="3" max="3"/>
    <col width="16" customWidth="1" min="4" max="4"/>
    <col width="44" customWidth="1" min="5" max="5"/>
    <col width="50" customWidth="1" min="6" max="6"/>
    <col width="44" customWidth="1" min="7" max="7"/>
    <col width="28" customWidth="1" min="8" max="8"/>
    <col width="10" customWidth="1" min="9" max="9"/>
    <col width="22" customWidth="1" min="10" max="10"/>
    <col width="9" customWidth="1" min="11" max="11"/>
    <col width="8" customWidth="1" min="12" max="12"/>
    <col width="40" customWidth="1" min="13" max="13"/>
  </cols>
  <sheetData>
    <row r="1">
      <c r="A1" s="4" t="inlineStr">
        <is>
          <t>ID</t>
        </is>
      </c>
      <c r="B1" s="4" t="inlineStr">
        <is>
          <t>Impedimento</t>
        </is>
      </c>
      <c r="C1" s="4" t="inlineStr">
        <is>
          <t>Plataforma</t>
        </is>
      </c>
      <c r="D1" s="4" t="inlineStr">
        <is>
          <t>Contas</t>
        </is>
      </c>
      <c r="E1" s="4" t="inlineStr">
        <is>
          <t>Exposição (gasto na janela)</t>
        </is>
      </c>
      <c r="F1" s="4" t="inlineStr">
        <is>
          <t>Causa medida</t>
        </is>
      </c>
      <c r="G1" s="4" t="inlineStr">
        <is>
          <t>O que destrava</t>
        </is>
      </c>
      <c r="H1" s="4" t="inlineStr">
        <is>
          <t>Responsável (a confirmar)</t>
        </is>
      </c>
      <c r="I1" s="4" t="inlineStr">
        <is>
          <t>Prazo duro</t>
        </is>
      </c>
      <c r="J1" s="4" t="inlineStr">
        <is>
          <t>Previsão (proposta)</t>
        </is>
      </c>
      <c r="K1" s="4" t="inlineStr">
        <is>
          <t>Prioridade</t>
        </is>
      </c>
      <c r="L1" s="4" t="inlineStr">
        <is>
          <t>Etapa</t>
        </is>
      </c>
      <c r="M1" s="4" t="inlineStr">
        <is>
          <t>Consequência</t>
        </is>
      </c>
    </row>
    <row r="2">
      <c r="A2" s="5" t="inlineStr">
        <is>
          <t>I-01</t>
        </is>
      </c>
      <c r="B2" s="5" t="inlineStr">
        <is>
          <t>Reautorização do conector Google Ads v2.53 (prazo do Google)</t>
        </is>
      </c>
      <c r="C2" s="5" t="inlineStr">
        <is>
          <t>Google Ads</t>
        </is>
      </c>
      <c r="D2" s="5" t="inlineStr">
        <is>
          <t>41 contas conectadas (43 fontes publicadas)</t>
        </is>
      </c>
      <c r="E2" s="5" t="inlineStr">
        <is>
          <t>R$ 101.708,91 em 30 dias (13/09–12/10) nas contas em reais com leitura confirmada, mais US$ 3.015,73 da Move</t>
        </is>
      </c>
      <c r="F2" s="5" t="inlineStr">
        <is>
          <t>Aviso do conector: prazo de 23/10/2026. O indicador de vencimento da Nekt ainda mostra "não vencido".</t>
        </is>
      </c>
      <c r="G2" s="5" t="inlineStr">
        <is>
          <t>Administrador do MCC reautoriza as fontes na interface da Nekt (usuário Google do MCC).</t>
        </is>
      </c>
      <c r="H2" s="5" t="inlineStr">
        <is>
          <t>Admin do MCC Google (nome a confirmar)</t>
        </is>
      </c>
      <c r="I2" s="5" t="inlineStr">
        <is>
          <t>23/10</t>
        </is>
      </c>
      <c r="J2" s="5" t="inlineStr">
        <is>
          <t>22/10</t>
        </is>
      </c>
      <c r="K2" s="5" t="inlineStr">
        <is>
          <t>P1</t>
        </is>
      </c>
      <c r="L2" s="5" t="inlineStr">
        <is>
          <t>E1</t>
        </is>
      </c>
      <c r="M2" s="5" t="inlineStr">
        <is>
          <t>Risco de a extração de Google Ads parar. O comportamento exato depois do prazo não foi testado.</t>
        </is>
      </c>
    </row>
    <row r="3">
      <c r="A3" s="5" t="inlineStr">
        <is>
          <t>I-02</t>
        </is>
      </c>
      <c r="B3" s="5" t="inlineStr">
        <is>
          <t>Meta: 7 contas com erro 403 (ads_read)</t>
        </is>
      </c>
      <c r="C3" s="5" t="inlineStr">
        <is>
          <t>Meta Ads</t>
        </is>
      </c>
      <c r="D3" s="5" t="inlineStr">
        <is>
          <t>8 fontes (7 contas com 403 + 1 com 400)</t>
        </is>
      </c>
      <c r="E3" s="5" t="inlineStr">
        <is>
          <t>R$ 12.395,15 em 7 dias (13–19/10) nas contas visíveis no MCC: Shizen R$ 8.236,61, Farmabem R$ 3.045,47 e Santo Remédio Ecommerce R$ 1.113,07; BA Elétrica 2026 e CA 02 Arena estão fora do MCC; Santo Remédio Reserva Nova está desabilitada na Meta</t>
        </is>
      </c>
      <c r="F3" s="5" t="inlineStr">
        <is>
          <t>A conta não está atribuída ao usuário que autorizou a conexão (erro de conta, não de stream: confirmado por teste). Shizen: o e-mail do João de 15/10 diz que falta aprovação específica do cliente.</t>
        </is>
      </c>
      <c r="G3" s="5" t="inlineStr">
        <is>
          <t>Administrador do Business Manager atribui cada conta ao usuário da conexão (ou informa que a conta não deve ser mantida).</t>
        </is>
      </c>
      <c r="H3" s="5" t="inlineStr">
        <is>
          <t>João Araújo (admin Meta)</t>
        </is>
      </c>
      <c r="I3" s="5" t="inlineStr">
        <is>
          <t>27/10</t>
        </is>
      </c>
      <c r="J3" s="5" t="inlineStr">
        <is>
          <t>20/10</t>
        </is>
      </c>
      <c r="K3" s="5" t="inlineStr">
        <is>
          <t>P1</t>
        </is>
      </c>
      <c r="L3" s="5" t="inlineStr">
        <is>
          <t>E1</t>
        </is>
      </c>
      <c r="M3" s="5" t="inlineStr">
        <is>
          <t>Em 20/10 as cinco fontes ainda ativas falharam de novo. Em 21/10: xDLw, qy0W e bU6W com 3 falhas seguidas e ativas; geQA e tWIP com 2 (a de 27/10 chega a 3). KUkx e OJi6 (Shizen) estão INATIVAS desde 16/10: a conta de maior gasto sem leitura não é extraída até alguém reativar a fonte.</t>
        </is>
      </c>
    </row>
    <row r="4">
      <c r="A4" s="5" t="inlineStr">
        <is>
          <t>I-03</t>
        </is>
      </c>
      <c r="B4" s="5" t="inlineStr">
        <is>
          <t>Meta: 18 contas só com rascunho, sem autorização OAuth</t>
        </is>
      </c>
      <c r="C4" s="5" t="inlineStr">
        <is>
          <t>Meta Ads</t>
        </is>
      </c>
      <c r="D4" s="5" t="inlineStr">
        <is>
          <t>18</t>
        </is>
      </c>
      <c r="E4" s="5" t="inlineStr">
        <is>
          <t>R$ 25.081,20 em 7 dias (13–19/10), a maior lacuna de gasto da Meta. Maiores: AD - Apa Móveis Cliente R$ 6.979,58; Maravilha Motos (Honda Motos) R$ 4.442,39; CA01 - Comodare R$ 3.268,95; Carlos Oshiro R$ 1.942,53</t>
        </is>
      </c>
      <c r="F4" s="5" t="inlineStr">
        <is>
          <t>Rascunho criado em 09/10 sem a autorização feita por quem administra cada conta.</t>
        </is>
      </c>
      <c r="G4" s="5" t="inlineStr">
        <is>
          <t>Autorizar o OAuth com o usuário que alcança a conta; depois confirmar o nome da camada (irreversível).</t>
        </is>
      </c>
      <c r="H4" s="5" t="inlineStr">
        <is>
          <t>João Araújo (admin Meta) + Jussara</t>
        </is>
      </c>
      <c r="I4" s="5" t="inlineStr">
        <is>
          <t>—</t>
        </is>
      </c>
      <c r="J4" s="5" t="inlineStr">
        <is>
          <t>OAuth 21/10 → publicar 22/10 → 1ª execução 27/10</t>
        </is>
      </c>
      <c r="K4" s="5" t="inlineStr">
        <is>
          <t>P1</t>
        </is>
      </c>
      <c r="L4" s="5" t="inlineStr">
        <is>
          <t>E2</t>
        </is>
      </c>
      <c r="M4" s="5" t="inlineStr">
        <is>
          <t>O gasto dessas contas segue fora da base.</t>
        </is>
      </c>
    </row>
    <row r="5">
      <c r="A5" s="5" t="inlineStr">
        <is>
          <t>I-04</t>
        </is>
      </c>
      <c r="B5" s="5" t="inlineStr">
        <is>
          <t>Meta: CA Braga Motos 2, erro 400 no stream ads</t>
        </is>
      </c>
      <c r="C5" s="5" t="inlineStr">
        <is>
          <t>Meta Ads</t>
        </is>
      </c>
      <c r="D5" s="5" t="inlineStr">
        <is>
          <t>1</t>
        </is>
      </c>
      <c r="E5" s="5" t="inlineStr">
        <is>
          <t>R$ 1.404,57 em 7 dias</t>
        </is>
      </c>
      <c r="F5" s="5" t="inlineStr">
        <is>
          <t>Anúncio com asset_feed_spec em conflito com object_story_spec (código 100, subcódigo 2446211).</t>
        </is>
      </c>
      <c r="G5" s="5" t="inlineStr">
        <is>
          <t>Gestor de mídia corrige o anúncio na Meta; nova execução.</t>
        </is>
      </c>
      <c r="H5" s="5" t="inlineStr">
        <is>
          <t>Gestor de mídia da conta</t>
        </is>
      </c>
      <c r="I5" s="5" t="inlineStr">
        <is>
          <t>—</t>
        </is>
      </c>
      <c r="J5" s="5" t="inlineStr">
        <is>
          <t>20/10</t>
        </is>
      </c>
      <c r="K5" s="5" t="inlineStr">
        <is>
          <t>P2</t>
        </is>
      </c>
      <c r="L5" s="5" t="inlineStr">
        <is>
          <t>E1</t>
        </is>
      </c>
      <c r="M5" s="5" t="inlineStr">
        <is>
          <t>A conta continua sem leitura.</t>
        </is>
      </c>
    </row>
    <row r="6">
      <c r="A6" s="5" t="inlineStr">
        <is>
          <t>I-05</t>
        </is>
      </c>
      <c r="B6" s="5" t="inlineStr">
        <is>
          <t>Ex-clientes com fonte ainda publicada: Pátio Gourmet, Mari Mari e Olá Casa Nova</t>
        </is>
      </c>
      <c r="C6" s="5" t="inlineStr">
        <is>
          <t>Meta Ads / Google Ads</t>
        </is>
      </c>
      <c r="D6" s="5" t="inlineStr">
        <is>
          <t>5 fontes Meta com 403 + FKfU + DzVL (Google) + 1 arquivada</t>
        </is>
      </c>
      <c r="E6" s="5" t="inlineStr">
        <is>
          <t>sem exposição de gasto na agência (clientes saíram); as fontes seguem rodando e falhando</t>
        </is>
      </c>
      <c r="F6" s="5" t="inlineStr">
        <is>
          <t>A Jussara informou em 16/10 que os três deixaram de ser clientes. As fontes seguem publicadas e vão falhar nas terças 20/10 e 27/10 até a Nekt desativá-las; as contas Google de Pátio Gourmet e Olá Casa Nova seguem no MCC.</t>
        </is>
      </c>
      <c r="G6" s="5" t="inlineStr">
        <is>
          <t>Arquivar as fontes na interface da Nekt (o MCP não arquiva); admin do MCC desvincula as contas Google.</t>
        </is>
      </c>
      <c r="H6" s="5" t="inlineStr">
        <is>
          <t>Jussara (arquivar) + Admin do MCC</t>
        </is>
      </c>
      <c r="I6" s="5" t="inlineStr">
        <is>
          <t>—</t>
        </is>
      </c>
      <c r="J6" s="5" t="inlineStr">
        <is>
          <t>23/10</t>
        </is>
      </c>
      <c r="K6" s="5" t="inlineStr">
        <is>
          <t>P3</t>
        </is>
      </c>
      <c r="L6" s="5" t="inlineStr">
        <is>
          <t>E1</t>
        </is>
      </c>
      <c r="M6" s="5" t="inlineStr">
        <is>
          <t>Falhas no histórico de execuções e crédito de agenda sem finalidade.</t>
        </is>
      </c>
    </row>
    <row r="7">
      <c r="A7" s="5" t="inlineStr">
        <is>
          <t>I-06</t>
        </is>
      </c>
      <c r="B7" s="5" t="inlineStr">
        <is>
          <t>Google: 4 contas bloqueadas (CDL, Santo Remédio antigo, Comac, Braga Venda Direta)</t>
        </is>
      </c>
      <c r="C7" s="5" t="inlineStr">
        <is>
          <t>Google Ads</t>
        </is>
      </c>
      <c r="D7" s="5" t="inlineStr">
        <is>
          <t>4</t>
        </is>
      </c>
      <c r="E7" s="5" t="inlineStr">
        <is>
          <t>CDL Manaus R$ 87,82 em 30 dias; as outras três não têm gasto visível (conta fora do MCC ou ID inexistente)</t>
        </is>
      </c>
      <c r="F7" s="5" t="inlineStr">
        <is>
          <t>CDL: o plano da conta inviabiliza rodar (informado pela Jussara em 16/10). Santo Remédio antigo (AMd2): conta saiu do MCC (403 CUSTOMER_NOT_ENABLED). Comac e Braga Venda Direta: IDs do mapeamento (306-130-0045 e 580-542-7544) não aparecem entre as contas do MCC.</t>
        </is>
      </c>
      <c r="G7" s="5" t="inlineStr">
        <is>
          <t>CDL: mudança de plano, sem previsão. AMd2: arquivar na interface. Comac e Braga Venda Direta: João confirma os IDs ou o vínculo.</t>
        </is>
      </c>
      <c r="H7" s="5" t="inlineStr">
        <is>
          <t>Conta CDL: AM/analista; demais: João Araújo (mapeamento) + Admin do MCC</t>
        </is>
      </c>
      <c r="I7" s="5" t="inlineStr">
        <is>
          <t>—</t>
        </is>
      </c>
      <c r="J7" s="5" t="inlineStr">
        <is>
          <t>21/10 (IDs); CDL sem previsão</t>
        </is>
      </c>
      <c r="K7" s="5" t="inlineStr">
        <is>
          <t>P3</t>
        </is>
      </c>
      <c r="L7" s="5" t="inlineStr">
        <is>
          <t>E1</t>
        </is>
      </c>
      <c r="M7" s="5" t="inlineStr">
        <is>
          <t>Quatro contas sem possibilidade de leitura até a decisão.</t>
        </is>
      </c>
    </row>
    <row r="8">
      <c r="A8" s="5" t="inlineStr">
        <is>
          <t>I-07</t>
        </is>
      </c>
      <c r="B8" s="5" t="inlineStr">
        <is>
          <t>Google: 5 contas pendentes (4 aguardam autorização + conta própria da Vanguarda)</t>
        </is>
      </c>
      <c r="C8" s="5" t="inlineStr">
        <is>
          <t>Google Ads</t>
        </is>
      </c>
      <c r="D8" s="5" t="inlineStr">
        <is>
          <t>5</t>
        </is>
      </c>
      <c r="E8" s="5" t="inlineStr">
        <is>
          <t>R$ 2.497,66 em 30 dias. Maiores: AÇO MANAUS R$ 1.366,26; PNEU FORTE VAREJO R$ 768,29; TUBOAÇOS DA AMAZÔNIA R$ 174,46; VANGUARDA COMUNICAÇÃO (conta própria) R$ 161,26; BRAGA MOTORS BMW R$ 27,39</t>
        </is>
      </c>
      <c r="F8" s="5" t="inlineStr">
        <is>
          <t>Aço Manaus, Braga Motors BMW, Pneu Forte Varejo e Tuboaços aguardam a autorização do cliente (informado pela Jussara em 16/10). A conta própria da Vanguarda (750-265-3880) não tem fonte e a decisão de entrar ainda não foi tomada. Ficaram de fora por decisão: Santo Remédio conta viva (e-mail do João de 30/09: não conectar por ora) e Dr. Cabral conta 2 (duplicidade).</t>
        </is>
      </c>
      <c r="G8" s="5" t="inlineStr">
        <is>
          <t>Autorização do cliente e OAuth com o usuário que administra o MCC; decisão sobre a conta própria.</t>
        </is>
      </c>
      <c r="H8" s="5" t="inlineStr">
        <is>
          <t>Account Managers + Admin do MCC</t>
        </is>
      </c>
      <c r="I8" s="5" t="inlineStr">
        <is>
          <t>—</t>
        </is>
      </c>
      <c r="J8" s="5" t="inlineStr">
        <is>
          <t>21–23/10</t>
        </is>
      </c>
      <c r="K8" s="5" t="inlineStr">
        <is>
          <t>P2</t>
        </is>
      </c>
      <c r="L8" s="5" t="inlineStr">
        <is>
          <t>E2</t>
        </is>
      </c>
      <c r="M8" s="5" t="inlineStr">
        <is>
          <t>2,9% do gasto Google em reais (30 dias, contas aplicáveis) segue fora da base.</t>
        </is>
      </c>
    </row>
    <row r="9">
      <c r="A9" s="5" t="inlineStr">
        <is>
          <t>I-08</t>
        </is>
      </c>
      <c r="B9" s="5" t="inlineStr">
        <is>
          <t>Google: Prestex conectada em 16/10, mas em granularidade semanal e fora da Trusted</t>
        </is>
      </c>
      <c r="C9" s="5" t="inlineStr">
        <is>
          <t>Google Ads</t>
        </is>
      </c>
      <c r="D9" s="5" t="inlineStr">
        <is>
          <t>1</t>
        </is>
      </c>
      <c r="E9" s="5" t="inlineStr">
        <is>
          <t>R$ 11.285,82 em 30 dias (valor do MCC)</t>
        </is>
      </c>
      <c r="F9" s="5" t="inlineStr">
        <is>
          <t>Primeiro sucesso desde 08/09 em 16/10 09:28. Leitura confere com o MCC nas 4 semanas fechadas (R$ 10.958,01 dos dois lados), mas a tabela é SEMANAL e as outras 41 contas são diárias.</t>
        </is>
      </c>
      <c r="G9" s="5" t="inlineStr">
        <is>
          <t>Decidir se entra na união da Trusted de insight diário (somar semana e dia sem decisão misturaria granularidades).</t>
        </is>
      </c>
      <c r="H9" s="5" t="inlineStr">
        <is>
          <t>Jussara</t>
        </is>
      </c>
      <c r="I9" s="5" t="inlineStr">
        <is>
          <t>—</t>
        </is>
      </c>
      <c r="J9" s="5" t="inlineStr">
        <is>
          <t>23/10</t>
        </is>
      </c>
      <c r="K9" s="5" t="inlineStr">
        <is>
          <t>P3</t>
        </is>
      </c>
      <c r="L9" s="5" t="inlineStr">
        <is>
          <t>E2</t>
        </is>
      </c>
      <c r="M9" s="5" t="inlineStr">
        <is>
          <t>Fora da Trusted, o investimento da Prestex não aparece nos painéis.</t>
        </is>
      </c>
    </row>
    <row r="10">
      <c r="A10" s="5" t="inlineStr">
        <is>
          <t>I-09</t>
        </is>
      </c>
      <c r="B10" s="5" t="inlineStr">
        <is>
          <t>Google: 11 contas de ex-clientes e inativos ainda vinculadas ao MCC e gastando</t>
        </is>
      </c>
      <c r="C10" s="5" t="inlineStr">
        <is>
          <t>Google Ads</t>
        </is>
      </c>
      <c r="D10" s="5" t="inlineStr">
        <is>
          <t>11 (Nova Era 5; UIARA; Pátio Gourmet 2; Olá Casa Nova; Hope Bay Park; Julia Herrera)</t>
        </is>
      </c>
      <c r="E10" s="5" t="inlineStr">
        <is>
          <t>R$ 46.430,03 em 30 dias (13/09–12/10); só a Nova Era é R$ 26.490,69</t>
        </is>
      </c>
      <c r="F10" s="5" t="inlineStr">
        <is>
          <t>Nova Era saiu da agência em 05/10; Pátio Gourmet, Olá Casa Nova, UIARA, Hope Bay Park e Julia Herrera foram informados em 16/10 como ex-clientes ou inativos. O vínculo no MCC não foi desfeito.</t>
        </is>
      </c>
      <c r="G10" s="5" t="inlineStr">
        <is>
          <t>Administrador do MCC desvincula ou pausa as contas.</t>
        </is>
      </c>
      <c r="H10" s="5" t="inlineStr">
        <is>
          <t>Admin do MCC Google + Jussara</t>
        </is>
      </c>
      <c r="I10" s="5" t="inlineStr">
        <is>
          <t>—</t>
        </is>
      </c>
      <c r="J10" s="5" t="inlineStr">
        <is>
          <t>23/10</t>
        </is>
      </c>
      <c r="K10" s="5" t="inlineStr">
        <is>
          <t>P2</t>
        </is>
      </c>
      <c r="L10" s="5" t="inlineStr">
        <is>
          <t>—</t>
        </is>
      </c>
      <c r="M10" s="5" t="inlineStr">
        <is>
          <t>Gasto sem contrato visível na agência.</t>
        </is>
      </c>
    </row>
    <row r="11">
      <c r="A11" s="5" t="inlineStr">
        <is>
          <t>I-10</t>
        </is>
      </c>
      <c r="B11" s="5" t="inlineStr">
        <is>
          <t>RD Station: 5 contas pendentes e CDL bloqueada</t>
        </is>
      </c>
      <c r="C11" s="5" t="inlineStr">
        <is>
          <t>RD Station</t>
        </is>
      </c>
      <c r="D11" s="5" t="inlineStr">
        <is>
          <t>6</t>
        </is>
      </c>
      <c r="E11" s="5" t="inlineStr">
        <is>
          <t>não aplicável (sem gasto)</t>
        </is>
      </c>
      <c r="F11" s="5" t="inlineStr">
        <is>
          <t>Targo, Legacy e Lovol sem conta RD confirmada; Braga Yamaha Vendas com rascunho sem OAuth; Braga Pós Venda a validar; CDL com 403 de plano.</t>
        </is>
      </c>
      <c r="G11" s="5" t="inlineStr">
        <is>
          <t>Analistas Inbound confirmam as contas e o administrador de cada RD autoriza.</t>
        </is>
      </c>
      <c r="H11" s="5" t="inlineStr">
        <is>
          <t>Analistas Inbound (Joyce, Juan Carlos, Bryan)</t>
        </is>
      </c>
      <c r="I11" s="5" t="inlineStr">
        <is>
          <t>—</t>
        </is>
      </c>
      <c r="J11" s="5" t="inlineStr">
        <is>
          <t>21/10</t>
        </is>
      </c>
      <c r="K11" s="5" t="inlineStr">
        <is>
          <t>P2</t>
        </is>
      </c>
      <c r="L11" s="5" t="inlineStr">
        <is>
          <t>E2</t>
        </is>
      </c>
      <c r="M11" s="5" t="inlineStr">
        <is>
          <t>Contatos e conversões dessas contas ficam fora.</t>
        </is>
      </c>
    </row>
    <row r="12">
      <c r="A12" s="5" t="inlineStr">
        <is>
          <t>I-11</t>
        </is>
      </c>
      <c r="B12" s="5" t="inlineStr">
        <is>
          <t>RD Station: duas fontes sem dado e três duplicatas</t>
        </is>
      </c>
      <c r="C12" s="5" t="inlineStr">
        <is>
          <t>RD Station</t>
        </is>
      </c>
      <c r="D12" s="5" t="inlineStr">
        <is>
          <t>5</t>
        </is>
      </c>
      <c r="E12" s="5" t="inlineStr">
        <is>
          <t>—</t>
        </is>
      </c>
      <c r="F12" s="5" t="inlineStr">
        <is>
          <t>Bajaj (tabelas de contatos e eventos não materializadas) e AMZ Imports (nenhuma tabela em mais de 34 execuções). Duplicatas: 1eaJ e bjQx são cópias da pDLk; CAA Alumínio e CAA Tintas são a mesma conta RD (2.125 de 2.125 contatos em comum).</t>
        </is>
      </c>
      <c r="G12" s="5" t="inlineStr">
        <is>
          <t>Investigar as duas sem dado; arquivar as duplicatas pela interface (o MCP não arquiva).</t>
        </is>
      </c>
      <c r="H12" s="5" t="inlineStr">
        <is>
          <t>Jussara + Analistas Inbound</t>
        </is>
      </c>
      <c r="I12" s="5" t="inlineStr">
        <is>
          <t>—</t>
        </is>
      </c>
      <c r="J12" s="5" t="inlineStr">
        <is>
          <t>23/10</t>
        </is>
      </c>
      <c r="K12" s="5" t="inlineStr">
        <is>
          <t>P3</t>
        </is>
      </c>
      <c r="L12" s="5" t="inlineStr">
        <is>
          <t>E1</t>
        </is>
      </c>
      <c r="M12" s="5" t="inlineStr">
        <is>
          <t>Crédito gasto sem dado novo (cerca de 65 por mês) e risco de contar a mesma conta duas vezes.</t>
        </is>
      </c>
    </row>
    <row r="13">
      <c r="A13" s="5" t="inlineStr">
        <is>
          <t>I-12</t>
        </is>
      </c>
      <c r="B13" s="5" t="inlineStr">
        <is>
          <t>TikTok e LinkedIn: 7 contas sem ID</t>
        </is>
      </c>
      <c r="C13" s="5" t="inlineStr">
        <is>
          <t>Outras</t>
        </is>
      </c>
      <c r="D13" s="5" t="inlineStr">
        <is>
          <t>7 (TikTok 3, LinkedIn 4)</t>
        </is>
      </c>
      <c r="E13" s="5" t="inlineStr">
        <is>
          <t>não medido</t>
        </is>
      </c>
      <c r="F13" s="5" t="inlineStr">
        <is>
          <t>A planilha de squad lista as plataformas sem ID de conta. Os dois conectores existem na Nekt, sem nenhuma fonte. Spotify e X deixaram de ter conta aplicável (só havia Pátio Gourmet).</t>
        </is>
      </c>
      <c r="G13" s="5" t="inlineStr">
        <is>
          <t>Levantar o ID de cada conta e decidir se entra no escopo.</t>
        </is>
      </c>
      <c r="H13" s="5" t="inlineStr">
        <is>
          <t>João e analistas das contas</t>
        </is>
      </c>
      <c r="I13" s="5" t="inlineStr">
        <is>
          <t>—</t>
        </is>
      </c>
      <c r="J13" s="5" t="inlineStr">
        <is>
          <t>30/10</t>
        </is>
      </c>
      <c r="K13" s="5" t="inlineStr">
        <is>
          <t>P3</t>
        </is>
      </c>
      <c r="L13" s="5" t="inlineStr">
        <is>
          <t>E4</t>
        </is>
      </c>
      <c r="M13" s="5" t="inlineStr">
        <is>
          <t>Sem o ID, nenhuma das 7 chega a ser conectada.</t>
        </is>
      </c>
    </row>
    <row r="14">
      <c r="A14" s="5" t="inlineStr">
        <is>
          <t>I-13</t>
        </is>
      </c>
      <c r="B14" s="5" t="inlineStr">
        <is>
          <t>Instagram e Páginas: 108 fontes manuais, 48 delas fora da Trusted, sem lista de contas exigidas</t>
        </is>
      </c>
      <c r="C14" s="5" t="inlineStr">
        <is>
          <t>Instagram / Páginas</t>
        </is>
      </c>
      <c r="D14" s="5" t="inlineStr">
        <is>
          <t>108 fontes (54 + 54)</t>
        </is>
      </c>
      <c r="E14" s="5" t="inlineStr">
        <is>
          <t>não aplicável</t>
        </is>
      </c>
      <c r="F14" s="5" t="inlineStr">
        <is>
          <t>Todas em gatilho manual. Eram 60 em 16/10; as 48 novas (entre 14 e 20/10, uma delas criada em 20/10 às 19:16) estão publicadas e rodando, mas as Trusted de Instagram (12 contas) e de Páginas (48 páginas) têm lista fixa de fontes e não as leem. Instagram traz de 0 a 9 posts de contas com 101 a 4.278; não há inventário de quais contas são necessárias.</t>
        </is>
      </c>
      <c r="G14" s="5" t="inlineStr">
        <is>
          <t>Definir a lista de contas e a cadência; só depois somar as fontes novas às Trusted (com LIMIT 0 antes).</t>
        </is>
      </c>
      <c r="H14" s="5" t="inlineStr">
        <is>
          <t>Gabriela Bezerra (Facebook e Instagram) + Jussara</t>
        </is>
      </c>
      <c r="I14" s="5" t="inlineStr">
        <is>
          <t>—</t>
        </is>
      </c>
      <c r="J14" s="5" t="inlineStr">
        <is>
          <t>23/10</t>
        </is>
      </c>
      <c r="K14" s="5" t="inlineStr">
        <is>
          <t>P2</t>
        </is>
      </c>
      <c r="L14" s="5" t="inlineStr">
        <is>
          <t>E5</t>
        </is>
      </c>
      <c r="M14" s="5" t="inlineStr">
        <is>
          <t>Dado coletado que não chega ao consumo e, sem denominador, cobertura que não pode ser calculada.</t>
        </is>
      </c>
    </row>
    <row r="15">
      <c r="A15" s="5" t="inlineStr">
        <is>
          <t>I-14</t>
        </is>
      </c>
      <c r="B15" s="5" t="inlineStr">
        <is>
          <t>Sistemas internos: GitHub, Z-API, Semrush, RH, Qulture, Quickin sem dado; iClips parado por credencial</t>
        </is>
      </c>
      <c r="C15" s="5" t="inlineStr">
        <is>
          <t>Internos</t>
        </is>
      </c>
      <c r="D15" s="5" t="inlineStr">
        <is>
          <t>7</t>
        </is>
      </c>
      <c r="E15" s="5" t="inlineStr">
        <is>
          <t>não aplicável</t>
        </is>
      </c>
      <c r="F15" s="5" t="inlineStr">
        <is>
          <t>GitHub e Z-API com sucesso e zero linhas; Semrush com chave rejeitada; RH, Qulture e Quickin sem fonte. iClips: ver I-16.</t>
        </is>
      </c>
      <c r="G15" s="5" t="inlineStr">
        <is>
          <t>GitHub: conferir repositórios e data inicial na interface. Z-API: configurar URL e x-api-key. Semrush: nova chave. RH e demais: decidir se serão conectados.</t>
        </is>
      </c>
      <c r="H15" s="5" t="inlineStr">
        <is>
          <t>Jussara; donos de cada sistema</t>
        </is>
      </c>
      <c r="I15" s="5" t="inlineStr">
        <is>
          <t>—</t>
        </is>
      </c>
      <c r="J15" s="5" t="inlineStr">
        <is>
          <t>22/10 (GitHub, Z-API); 30/10 (Semrush)</t>
        </is>
      </c>
      <c r="K15" s="5" t="inlineStr">
        <is>
          <t>P3</t>
        </is>
      </c>
      <c r="L15" s="5" t="inlineStr">
        <is>
          <t>E6</t>
        </is>
      </c>
      <c r="M15" s="5" t="inlineStr">
        <is>
          <t>7 de 14 sistemas sem dado ou sem atualização.</t>
        </is>
      </c>
    </row>
    <row r="16">
      <c r="A16" s="5" t="inlineStr">
        <is>
          <t>I-15</t>
        </is>
      </c>
      <c r="B16" s="5" t="inlineStr">
        <is>
          <t>Créditos: execuções manuais fora da agenda e notebook do iClips a cada 4 horas</t>
        </is>
      </c>
      <c r="C16" s="5" t="inlineStr">
        <is>
          <t>Capacidade</t>
        </is>
      </c>
      <c r="D16" s="5" t="inlineStr">
        <is>
          <t>todas</t>
        </is>
      </c>
      <c r="E16" s="5" t="inlineStr">
        <is>
          <t>cerca de 600 créditos manuais estimados em 01–15/10; com o notebook do iClips inativo desde 19/10 o consumo corrente é menor que o modelo de 15/10</t>
        </is>
      </c>
      <c r="F16" s="5" t="inlineStr">
        <is>
          <t>Disparos manuais disparam a cadeia inteira (a do MySQL do VJOB custa cerca de 93 créditos; a do Google Ads, cerca de 97).</t>
        </is>
      </c>
      <c r="G16" s="5" t="inlineStr">
        <is>
          <t>Política de disparo manual e decisão sobre a cadência do notebook (4h, 8h, 12h ou diária).</t>
        </is>
      </c>
      <c r="H16" s="5" t="inlineStr">
        <is>
          <t>Diretoria + Jussara</t>
        </is>
      </c>
      <c r="I16" s="5" t="inlineStr">
        <is>
          <t>—</t>
        </is>
      </c>
      <c r="J16" s="5" t="inlineStr">
        <is>
          <t>23/10</t>
        </is>
      </c>
      <c r="K16" s="5" t="inlineStr">
        <is>
          <t>P1</t>
        </is>
      </c>
      <c r="L16" s="5" t="inlineStr">
        <is>
          <t>E0</t>
        </is>
      </c>
      <c r="M16" s="5" t="inlineStr">
        <is>
          <t>O modelo de 15/10 (84,5% do limite, 43% no notebook) não foi refeito. Se o notebook voltar a rodar a cada 4h, a conta volta ao que estava.</t>
        </is>
      </c>
    </row>
    <row r="17">
      <c r="A17" s="5" t="inlineStr">
        <is>
          <t>I-16</t>
        </is>
      </c>
      <c r="B17" s="5" t="inlineStr">
        <is>
          <t>iClips: chave de API recusada (401); notebook inativo e duas fontes falhando</t>
        </is>
      </c>
      <c r="C17" s="5" t="inlineStr">
        <is>
          <t>iClips</t>
        </is>
      </c>
      <c r="D17" s="5" t="inlineStr">
        <is>
          <t>3 pipelines</t>
        </is>
      </c>
      <c r="E17" s="5" t="inlineStr">
        <is>
          <t>não aplicável (sem gasto); afeta projetos, peças, apontamento e a Gold de tarefas</t>
        </is>
      </c>
      <c r="F17" s="5" t="inlineStr">
        <is>
          <t>A secret ICLIPS_API_KEY foi recusada como inválida, malformada ou expirada. O notebook-Rbpo falhou 3 vezes seguidas em 19/10 (13h, 17h, 21h) e a Nekt o desativou; sem execução desde então (conferido hoje). A rest-api-xk4P falhou em 20 e 21/10 (04:40) com o mesmo erro; a rest-api-73hk está com 3 falhas seguidas (último sucesso 28/09).</t>
        </is>
      </c>
      <c r="G17" s="5" t="inlineStr">
        <is>
          <t>Renovar a chave do iClips e atualizá-la na interface da Nekt (não passa pelo chat); só então reativar o notebook.</t>
        </is>
      </c>
      <c r="H17" s="5" t="inlineStr">
        <is>
          <t>Jussara (credencial) + dono do iClips</t>
        </is>
      </c>
      <c r="I17" s="5" t="inlineStr">
        <is>
          <t>—</t>
        </is>
      </c>
      <c r="J17" s="5" t="inlineStr">
        <is>
          <t>22/10</t>
        </is>
      </c>
      <c r="K17" s="5" t="inlineStr">
        <is>
          <t>P1</t>
        </is>
      </c>
      <c r="L17" s="5" t="inlineStr">
        <is>
          <t>E1</t>
        </is>
      </c>
      <c r="M17" s="5" t="inlineStr">
        <is>
          <t>As Trusted do iClips e a suíte de qualidade do iClips (53 regras) medem dado de 19/10 e vão envelhecendo.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6" customWidth="1" min="3" max="3"/>
    <col width="16" customWidth="1" min="4" max="4"/>
    <col width="52" customWidth="1" min="5" max="5"/>
    <col width="13" customWidth="1" min="6" max="6"/>
    <col width="9" customWidth="1" min="7" max="7"/>
    <col width="13" customWidth="1" min="8" max="8"/>
    <col width="9" customWidth="1" min="9" max="9"/>
    <col width="16" customWidth="1" min="10" max="10"/>
    <col width="9" customWidth="1" min="11" max="11"/>
    <col width="13" customWidth="1" min="12" max="12"/>
    <col width="9" customWidth="1" min="13" max="13"/>
    <col width="13" customWidth="1" min="14" max="14"/>
    <col width="9" customWidth="1" min="15" max="15"/>
  </cols>
  <sheetData>
    <row r="1">
      <c r="A1" s="4" t="inlineStr">
        <is>
          <t>Etapa</t>
        </is>
      </c>
      <c r="B1" s="4" t="inlineStr">
        <is>
          <t>O que entra</t>
        </is>
      </c>
      <c r="C1" s="4" t="inlineStr">
        <is>
          <t>Δ créditos/mês (regra "todas", agenda semanal)</t>
        </is>
      </c>
      <c r="D1" s="4" t="inlineStr">
        <is>
          <t>Δ créditos/mês (regra "qualquer" / diário)</t>
        </is>
      </c>
      <c r="E1" s="4" t="inlineStr">
        <is>
          <t>Como foi calculado</t>
        </is>
      </c>
      <c r="F1" s="4" t="inlineStr">
        <is>
          <t>Acumulado sem manuais</t>
        </is>
      </c>
      <c r="G1" s="4" t="inlineStr">
        <is>
          <t>% de 9.000</t>
        </is>
      </c>
      <c r="H1" s="4" t="inlineStr">
        <is>
          <t>Acumulado com 300 manuais</t>
        </is>
      </c>
      <c r="I1" s="4" t="inlineStr">
        <is>
          <t>% de 9.000</t>
        </is>
      </c>
      <c r="J1" s="4" t="inlineStr">
        <is>
          <t>Acumulado com 1.200 manuais (ritmo de outubro)</t>
        </is>
      </c>
      <c r="K1" s="4" t="inlineStr">
        <is>
          <t>% de 9.000</t>
        </is>
      </c>
      <c r="L1" s="4" t="inlineStr">
        <is>
          <t>"Qualquer" + 300 manuais</t>
        </is>
      </c>
      <c r="M1" s="4" t="inlineStr">
        <is>
          <t>% de 9.000</t>
        </is>
      </c>
      <c r="N1" s="4" t="inlineStr">
        <is>
          <t>"Qualquer" + 1.200 manuais</t>
        </is>
      </c>
      <c r="O1" s="4" t="inlineStr">
        <is>
          <t>% de 9.000</t>
        </is>
      </c>
    </row>
    <row r="2">
      <c r="A2" s="5" t="inlineStr">
        <is>
          <t>E0</t>
        </is>
      </c>
      <c r="B2" s="5" t="inlineStr">
        <is>
          <t>Linha de base: o que já está agendado hoje</t>
        </is>
      </c>
      <c r="C2" s="5" t="n">
        <v>0</v>
      </c>
      <c r="D2" s="5" t="n">
        <v>0</v>
      </c>
      <c r="E2" s="5" t="inlineStr">
        <is>
          <t>7.601 execuções por mês; ~3.300 (43%) são o notebook do iClips a cada 4h e a cadeia que ele dispara</t>
        </is>
      </c>
      <c r="F2" s="5" t="n">
        <v>7601</v>
      </c>
      <c r="G2" s="10" t="n">
        <v>0.845</v>
      </c>
      <c r="H2" s="5" t="n">
        <v>7901</v>
      </c>
      <c r="I2" s="10" t="n">
        <v>0.878</v>
      </c>
      <c r="J2" s="5" t="n">
        <v>8801</v>
      </c>
      <c r="K2" s="10" t="n">
        <v>0.978</v>
      </c>
      <c r="L2" s="5" t="n">
        <v>7901</v>
      </c>
      <c r="M2" s="10" t="n">
        <v>0.878</v>
      </c>
      <c r="N2" s="5" t="n">
        <v>8801</v>
      </c>
      <c r="O2" s="10" t="n">
        <v>0.978</v>
      </c>
    </row>
    <row r="3">
      <c r="A3" s="5" t="inlineStr">
        <is>
          <t>E1</t>
        </is>
      </c>
      <c r="B3" s="5" t="inlineStr">
        <is>
          <t>Desbloqueios (Meta 403, reautorização Google v2.53)</t>
        </is>
      </c>
      <c r="C3" s="5" t="n">
        <v>0</v>
      </c>
      <c r="D3" s="5" t="n">
        <v>0</v>
      </c>
      <c r="E3" s="5" t="inlineStr">
        <is>
          <t>as fontes já estão agendadas; falha não consome crédito</t>
        </is>
      </c>
      <c r="F3" s="5" t="n">
        <v>7601</v>
      </c>
      <c r="G3" s="10" t="n">
        <v>0.845</v>
      </c>
      <c r="H3" s="5" t="n">
        <v>7901</v>
      </c>
      <c r="I3" s="10" t="n">
        <v>0.878</v>
      </c>
      <c r="J3" s="5" t="n">
        <v>8801</v>
      </c>
      <c r="K3" s="10" t="n">
        <v>0.978</v>
      </c>
      <c r="L3" s="5" t="n">
        <v>7901</v>
      </c>
      <c r="M3" s="10" t="n">
        <v>0.878</v>
      </c>
      <c r="N3" s="5" t="n">
        <v>8801</v>
      </c>
      <c r="O3" s="10" t="n">
        <v>0.978</v>
      </c>
    </row>
    <row r="4">
      <c r="A4" s="5" t="inlineStr">
        <is>
          <t>E2</t>
        </is>
      </c>
      <c r="B4" s="5" t="inlineStr">
        <is>
          <t>Publicar rascunhos: 18 Meta, 5 Google e 5 RD</t>
        </is>
      </c>
      <c r="C4" s="5" t="n">
        <v>122</v>
      </c>
      <c r="D4" s="5" t="n">
        <v>122</v>
      </c>
      <c r="E4" s="5" t="inlineStr">
        <is>
          <t>28 fontes semanais novas</t>
        </is>
      </c>
      <c r="F4" s="5" t="n">
        <v>7723</v>
      </c>
      <c r="G4" s="10" t="n">
        <v>0.858</v>
      </c>
      <c r="H4" s="5" t="n">
        <v>8023</v>
      </c>
      <c r="I4" s="10" t="n">
        <v>0.891</v>
      </c>
      <c r="J4" s="5" t="n">
        <v>8923</v>
      </c>
      <c r="K4" s="10" t="n">
        <v>0.991</v>
      </c>
      <c r="L4" s="5" t="n">
        <v>8023</v>
      </c>
      <c r="M4" s="10" t="n">
        <v>0.891</v>
      </c>
      <c r="N4" s="5" t="n">
        <v>8923</v>
      </c>
      <c r="O4" s="10" t="n">
        <v>0.991</v>
      </c>
    </row>
    <row r="5">
      <c r="A5" s="5" t="inlineStr">
        <is>
          <t>E3</t>
        </is>
      </c>
      <c r="B5" s="5" t="inlineStr">
        <is>
          <t>Somar as fontes Meta novas à Trusted de Facebook</t>
        </is>
      </c>
      <c r="C5" s="5" t="n">
        <v>4</v>
      </c>
      <c r="D5" s="5" t="n">
        <v>548</v>
      </c>
      <c r="E5" s="5" t="inlineStr">
        <is>
          <t>regra "todas" ≈ +4; regra "qualquer" ≈ +548 (63 fontes × 4,35 terças × 2 consultas)</t>
        </is>
      </c>
      <c r="F5" s="5" t="n">
        <v>7727</v>
      </c>
      <c r="G5" s="10" t="n">
        <v>0.859</v>
      </c>
      <c r="H5" s="5" t="n">
        <v>8027</v>
      </c>
      <c r="I5" s="10" t="n">
        <v>0.892</v>
      </c>
      <c r="J5" s="5" t="n">
        <v>8927</v>
      </c>
      <c r="K5" s="10" t="n">
        <v>0.992</v>
      </c>
      <c r="L5" s="5" t="n">
        <v>8571</v>
      </c>
      <c r="M5" s="10" t="n">
        <v>0.952</v>
      </c>
      <c r="N5" s="5" t="n">
        <v>9471</v>
      </c>
      <c r="O5" s="10" t="n">
        <v>1.052</v>
      </c>
    </row>
    <row r="6">
      <c r="A6" s="5" t="inlineStr">
        <is>
          <t>E4</t>
        </is>
      </c>
      <c r="B6" s="5" t="inlineStr">
        <is>
          <t>TikTok e LinkedIn (7 contas)</t>
        </is>
      </c>
      <c r="C6" s="5" t="n">
        <v>30</v>
      </c>
      <c r="D6" s="5" t="n">
        <v>30</v>
      </c>
      <c r="E6" s="5" t="inlineStr">
        <is>
          <t>7 fontes semanais</t>
        </is>
      </c>
      <c r="F6" s="5" t="n">
        <v>7757</v>
      </c>
      <c r="G6" s="10" t="n">
        <v>0.862</v>
      </c>
      <c r="H6" s="5" t="n">
        <v>8057</v>
      </c>
      <c r="I6" s="10" t="n">
        <v>0.895</v>
      </c>
      <c r="J6" s="5" t="n">
        <v>8957</v>
      </c>
      <c r="K6" s="10" t="n">
        <v>0.995</v>
      </c>
      <c r="L6" s="5" t="n">
        <v>8601</v>
      </c>
      <c r="M6" s="10" t="n">
        <v>0.956</v>
      </c>
      <c r="N6" s="5" t="n">
        <v>9501</v>
      </c>
      <c r="O6" s="10" t="n">
        <v>1.056</v>
      </c>
    </row>
    <row r="7">
      <c r="A7" s="5" t="inlineStr">
        <is>
          <t>E5</t>
        </is>
      </c>
      <c r="B7" s="5" t="inlineStr">
        <is>
          <t>Agendar Instagram (11) e Páginas (14)</t>
        </is>
      </c>
      <c r="C7" s="5" t="n">
        <v>118</v>
      </c>
      <c r="D7" s="5" t="n">
        <v>761</v>
      </c>
      <c r="E7" s="5" t="inlineStr">
        <is>
          <t>semanal ≈ +118; diário ≈ +761</t>
        </is>
      </c>
      <c r="F7" s="5" t="n">
        <v>7875</v>
      </c>
      <c r="G7" s="10" t="n">
        <v>0.875</v>
      </c>
      <c r="H7" s="5" t="n">
        <v>8175</v>
      </c>
      <c r="I7" s="10" t="n">
        <v>0.908</v>
      </c>
      <c r="J7" s="5" t="n">
        <v>9075</v>
      </c>
      <c r="K7" s="10" t="n">
        <v>1.008</v>
      </c>
      <c r="L7" s="5" t="n">
        <v>8719</v>
      </c>
      <c r="M7" s="10" t="n">
        <v>0.969</v>
      </c>
      <c r="N7" s="5" t="n">
        <v>9619</v>
      </c>
      <c r="O7" s="10" t="n">
        <v>1.069</v>
      </c>
    </row>
    <row r="8">
      <c r="A8" s="5" t="inlineStr">
        <is>
          <t>E6</t>
        </is>
      </c>
      <c r="B8" s="5" t="inlineStr">
        <is>
          <t>Fonte de RH, Qulture e Quickin (se forem conectados)</t>
        </is>
      </c>
      <c r="C8" s="5" t="n">
        <v>13</v>
      </c>
      <c r="D8" s="5" t="n">
        <v>13</v>
      </c>
      <c r="E8" s="5" t="inlineStr">
        <is>
          <t>3 fontes semanais; cadeia de tratamento não estimada</t>
        </is>
      </c>
      <c r="F8" s="5" t="n">
        <v>7888</v>
      </c>
      <c r="G8" s="10" t="n">
        <v>0.876</v>
      </c>
      <c r="H8" s="5" t="n">
        <v>8188</v>
      </c>
      <c r="I8" s="10" t="n">
        <v>0.91</v>
      </c>
      <c r="J8" s="5" t="n">
        <v>9088</v>
      </c>
      <c r="K8" s="10" t="n">
        <v>1.01</v>
      </c>
      <c r="L8" s="5" t="n">
        <v>8732</v>
      </c>
      <c r="M8" s="10" t="n">
        <v>0.97</v>
      </c>
      <c r="N8" s="5" t="n">
        <v>9632</v>
      </c>
      <c r="O8" s="10" t="n">
        <v>1.07</v>
      </c>
    </row>
    <row r="10">
      <c r="A10" t="inlineStr">
        <is>
          <t>Leitura: a coluna "Acumulado sem manuais" soma só o que está agendado. Execuções manuais são cobradas como as agendadas (cada passada da MySQL do VJOB custa cerca de 93; a do Google Ads, cerca de 97). 1 crédito = 1 execução bem-sucedida (regra oficial da Nekt). Falhas e cargas iniciais não são cobradas, então o modelo é ligeiramente conservador.</t>
        </is>
      </c>
    </row>
    <row r="11">
      <c r="A11" t="inlineStr">
        <is>
          <t>Alavancas, em ordem de economia por mês: notebook do iClips de 4h para 8h ≈ 1.650; para 12h ≈ 2.200; para 1 por dia ≈ 2.750; RD diário para semanal ≈ 840; regra "todas" na Trusted de Facebook ≈ 544; duplicatas de RD ≈ 65. Cada uma é decisão de quem pediu a cadência atual.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36" customWidth="1" min="4" max="4"/>
    <col width="40" customWidth="1" min="5" max="5"/>
    <col width="10" customWidth="1" min="6" max="6"/>
    <col width="22" customWidth="1" min="7" max="7"/>
    <col width="44" customWidth="1" min="8" max="8"/>
  </cols>
  <sheetData>
    <row r="1">
      <c r="A1" s="11" t="inlineStr">
        <is>
          <t>Etapa</t>
        </is>
      </c>
      <c r="B1" s="11" t="inlineStr">
        <is>
          <t>Nome</t>
        </is>
      </c>
      <c r="C1" s="11" t="inlineStr">
        <is>
          <t>Escopo</t>
        </is>
      </c>
      <c r="D1" s="11" t="inlineStr">
        <is>
          <t>Responsável (a confirmar)</t>
        </is>
      </c>
      <c r="E1" s="11" t="inlineStr">
        <is>
          <t>Depende de</t>
        </is>
      </c>
      <c r="F1" s="11" t="inlineStr">
        <is>
          <t>Prazo duro</t>
        </is>
      </c>
      <c r="G1" s="11" t="inlineStr">
        <is>
          <t>Conclusão estimada se destravado (proposta)</t>
        </is>
      </c>
      <c r="H1" s="11" t="inlineStr">
        <is>
          <t>Critério de saída</t>
        </is>
      </c>
    </row>
    <row r="2">
      <c r="A2" s="2" t="inlineStr">
        <is>
          <t>E1</t>
        </is>
      </c>
      <c r="B2" s="2" t="inlineStr">
        <is>
          <t>Desbloqueios</t>
        </is>
      </c>
      <c r="C2" s="2" t="inlineStr">
        <is>
          <t>Meta 403 (7) e 400 (1); reautorização v2.53 (41 contas, 43 fontes); conferir KL, AMZ Imports, Move CA2, Auto Master e manôa; renovar a chave do iClips (I-16) e reativar o notebook</t>
        </is>
      </c>
      <c r="D2" s="2" t="inlineStr">
        <is>
          <t>João Araújo (BM Meta); Admin do MCC Google (a confirmar); gestor de mídia; Jussara (chave do iClips)</t>
        </is>
      </c>
      <c r="E2" s="2" t="inlineStr">
        <is>
          <t>Atribuições e reautorização feitas</t>
        </is>
      </c>
      <c r="F2" s="2" t="inlineStr">
        <is>
          <t>23/10</t>
        </is>
      </c>
      <c r="G2" s="2" t="inlineStr">
        <is>
          <t>28/10</t>
        </is>
      </c>
      <c r="H2" s="2" t="inlineStr">
        <is>
          <t>Fontes em 403 sem erro na terça 27/10 e Google reautorizado extraindo</t>
        </is>
      </c>
    </row>
    <row r="3">
      <c r="A3" s="2" t="inlineStr">
        <is>
          <t>E2</t>
        </is>
      </c>
      <c r="B3" s="2" t="inlineStr">
        <is>
          <t>Publicar pendentes</t>
        </is>
      </c>
      <c r="C3" s="2" t="inlineStr">
        <is>
          <t>Meta 18; Google 5 (4 aguardam autorização + conta própria da Vanguarda); RD 5</t>
        </is>
      </c>
      <c r="D3" s="2" t="inlineStr">
        <is>
          <t>João Araújo (BM Meta); Admin do MCC (a confirmar); AMs; analistas Inbound; Jussara (camadas)</t>
        </is>
      </c>
      <c r="E3" s="2" t="inlineStr">
        <is>
          <t>OAuth feito até 23/10; nomes de camada confirmados (irreversíveis)</t>
        </is>
      </c>
      <c r="F3" s="2" t="inlineStr">
        <is>
          <t>—</t>
        </is>
      </c>
      <c r="G3" s="2" t="inlineStr">
        <is>
          <t>28/10</t>
        </is>
      </c>
      <c r="H3" s="2" t="inlineStr">
        <is>
          <t>Primeira execução agendada (terça 27/10) com linhas na tabela de cada conta</t>
        </is>
      </c>
    </row>
    <row r="4">
      <c r="A4" s="2" t="inlineStr">
        <is>
          <t>E3</t>
        </is>
      </c>
      <c r="B4" s="2" t="inlineStr">
        <is>
          <t>Somar à Trusted</t>
        </is>
      </c>
      <c r="C4" s="2" t="inlineStr">
        <is>
          <t>63 Meta já com dado (deploy 22/10); 18 Meta e Google novos depois; 19 RD novos</t>
        </is>
      </c>
      <c r="D4" s="2" t="inlineStr">
        <is>
          <t>Jussara</t>
        </is>
      </c>
      <c r="E4" s="2" t="inlineStr">
        <is>
          <t>Dado confirmado por conta; consulta com LIMIT 0 antes de publicar</t>
        </is>
      </c>
      <c r="F4" s="2" t="inlineStr">
        <is>
          <t>—</t>
        </is>
      </c>
      <c r="G4" s="2" t="inlineStr">
        <is>
          <t>03/11</t>
        </is>
      </c>
      <c r="H4" s="2" t="inlineStr">
        <is>
          <t>Contas novas presentes na Trusted e conferidas contra a plataforma</t>
        </is>
      </c>
    </row>
    <row r="5">
      <c r="A5" s="2" t="inlineStr">
        <is>
          <t>E4</t>
        </is>
      </c>
      <c r="B5" s="2" t="inlineStr">
        <is>
          <t>TikTok e LinkedIn</t>
        </is>
      </c>
      <c r="C5" s="2" t="inlineStr">
        <is>
          <t>7 contas (TikTok 3, LinkedIn 4)</t>
        </is>
      </c>
      <c r="D5" s="2" t="inlineStr">
        <is>
          <t>João Araújo e analistas; admins das contas</t>
        </is>
      </c>
      <c r="E5" s="2" t="inlineStr">
        <is>
          <t>IDs levantados até 16/10</t>
        </is>
      </c>
      <c r="F5" s="2" t="inlineStr">
        <is>
          <t>—</t>
        </is>
      </c>
      <c r="G5" s="2" t="inlineStr">
        <is>
          <t>04/11</t>
        </is>
      </c>
      <c r="H5" s="2" t="inlineStr">
        <is>
          <t>Primeira execução agendada com dado</t>
        </is>
      </c>
    </row>
    <row r="6">
      <c r="A6" s="2" t="inlineStr">
        <is>
          <t>E5</t>
        </is>
      </c>
      <c r="B6" s="2" t="inlineStr">
        <is>
          <t>Instagram e Páginas</t>
        </is>
      </c>
      <c r="C6" s="2" t="inlineStr">
        <is>
          <t>108 fontes: agenda, lista de contas exigidas, limite de posts; somar as 48 novas às Trusted</t>
        </is>
      </c>
      <c r="D6" s="2" t="inlineStr">
        <is>
          <t>Gabriela Bezerra (Facebook e Instagram) + Jussara</t>
        </is>
      </c>
      <c r="E6" s="2" t="inlineStr">
        <is>
          <t>Decisão de escopo e cadência até 23/10</t>
        </is>
      </c>
      <c r="F6" s="2" t="inlineStr">
        <is>
          <t>—</t>
        </is>
      </c>
      <c r="G6" s="2" t="inlineStr">
        <is>
          <t>02/11</t>
        </is>
      </c>
      <c r="H6" s="2" t="inlineStr">
        <is>
          <t>Lista de contas definida e cobertura calculável</t>
        </is>
      </c>
    </row>
    <row r="7">
      <c r="A7" s="2" t="inlineStr">
        <is>
          <t>E6</t>
        </is>
      </c>
      <c r="B7" s="2" t="inlineStr">
        <is>
          <t>Sistemas internos</t>
        </is>
      </c>
      <c r="C7" s="2" t="inlineStr">
        <is>
          <t>GitHub, Z-API, Semrush; RH, Qulture e Quickin se forem necessários</t>
        </is>
      </c>
      <c r="D7" s="2" t="inlineStr">
        <is>
          <t>Jussara; donos dos sistemas</t>
        </is>
      </c>
      <c r="E7" s="2" t="inlineStr">
        <is>
          <t>Configuração na interface de cada fonte</t>
        </is>
      </c>
      <c r="F7" s="2" t="inlineStr">
        <is>
          <t>—</t>
        </is>
      </c>
      <c r="G7" s="2" t="inlineStr">
        <is>
          <t>30/10 (RH e demais sem data)</t>
        </is>
      </c>
      <c r="H7" s="2" t="inlineStr">
        <is>
          <t>Tabela com linhas em cada sistema</t>
        </is>
      </c>
    </row>
    <row r="8">
      <c r="A8" s="2" t="inlineStr">
        <is>
          <t>E7</t>
        </is>
      </c>
      <c r="B8" s="2" t="inlineStr">
        <is>
          <t>Fechamento</t>
        </is>
      </c>
      <c r="C8" s="2" t="inlineStr">
        <is>
          <t>Relatório de cobertura final com a mesma metodologia</t>
        </is>
      </c>
      <c r="D8" s="2" t="inlineStr">
        <is>
          <t>Jussara</t>
        </is>
      </c>
      <c r="E8" s="2" t="inlineStr">
        <is>
          <t>E1 a E6</t>
        </is>
      </c>
      <c r="F8" s="2" t="inlineStr">
        <is>
          <t>—</t>
        </is>
      </c>
      <c r="G8" s="2" t="inlineStr">
        <is>
          <t>04/11</t>
        </is>
      </c>
      <c r="H8" s="2" t="inlineStr">
        <is>
          <t>Cobertura recalculada e entregue</t>
        </is>
      </c>
    </row>
    <row r="10">
      <c r="B10" t="inlineStr">
        <is>
          <t>100% das contas aplicáveis com leitura confirmada</t>
        </is>
      </c>
      <c r="C10" t="inlineStr">
        <is>
          <t>Estimativa: 04/11/2026, se TODAS as dependências externas forem entregues até 23/10. Cada semana de atraso no destravamento desloca a conclusão em uma semana (Meta e Google rodam às terças). Sem teto abaixo de 100%: Spotify e X ficaram sem conta aplicável e TikTok e LinkedIn têm conector. A CDL (bloqueada por plano) só chega lá se mudar de plano ou sair do denominador.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2" customWidth="1" min="4" max="4"/>
    <col width="60" customWidth="1" min="5" max="5"/>
  </cols>
  <sheetData>
    <row r="1">
      <c r="A1" s="4" t="inlineStr">
        <is>
          <t>Pipeline</t>
        </is>
      </c>
      <c r="B1" s="4" t="inlineStr">
        <is>
          <t>Cadência</t>
        </is>
      </c>
      <c r="C1" s="4" t="inlineStr">
        <is>
          <t>Execuções agendadas esperadas (01–15/10)</t>
        </is>
      </c>
      <c r="D1" s="4" t="inlineStr">
        <is>
          <t>Execuções com sucesso medidas</t>
        </is>
      </c>
      <c r="E1" s="4" t="inlineStr">
        <is>
          <t>Explicação da diferença</t>
        </is>
      </c>
    </row>
    <row r="2">
      <c r="A2" s="5" t="inlineStr">
        <is>
          <t>supabase-x0tz</t>
        </is>
      </c>
      <c r="B2" s="5" t="inlineStr">
        <is>
          <t>diária 01:00</t>
        </is>
      </c>
      <c r="C2" s="5" t="n">
        <v>15</v>
      </c>
      <c r="D2" s="5" t="n">
        <v>16</v>
      </c>
      <c r="E2" s="5" t="inlineStr">
        <is>
          <t>1 disparo manual em 14/10</t>
        </is>
      </c>
    </row>
    <row r="3">
      <c r="A3" s="5" t="inlineStr">
        <is>
          <t>query-GByA (depois da x0tz)</t>
        </is>
      </c>
      <c r="B3" s="5" t="inlineStr">
        <is>
          <t>diária ~03:30</t>
        </is>
      </c>
      <c r="C3" s="5" t="n">
        <v>15</v>
      </c>
      <c r="D3" s="5" t="n">
        <v>16</v>
      </c>
      <c r="E3" s="5" t="inlineStr">
        <is>
          <t>1 execução atrás do disparo manual</t>
        </is>
      </c>
    </row>
    <row r="4">
      <c r="A4" s="5" t="inlineStr">
        <is>
          <t>mysql-yIOn</t>
        </is>
      </c>
      <c r="B4" s="5" t="inlineStr">
        <is>
          <t>domingo 00:00</t>
        </is>
      </c>
      <c r="C4" s="5" t="n">
        <v>2</v>
      </c>
      <c r="D4" s="5" t="n">
        <v>5</v>
      </c>
      <c r="E4" s="5" t="inlineStr">
        <is>
          <t>3 disparos manuais (06, 07 e 14/10)</t>
        </is>
      </c>
    </row>
    <row r="5">
      <c r="A5" s="5" t="inlineStr">
        <is>
          <t>query-MZdN (depois do MySQL)</t>
        </is>
      </c>
      <c r="B5" s="5" t="inlineStr">
        <is>
          <t>evento</t>
        </is>
      </c>
      <c r="C5" s="5" t="n">
        <v>2</v>
      </c>
      <c r="D5" s="5" t="n">
        <v>5</v>
      </c>
      <c r="E5" s="5" t="inlineStr">
        <is>
          <t>segue cada execução do MySQL: 5 contra 5</t>
        </is>
      </c>
    </row>
    <row r="6">
      <c r="A6" s="5" t="inlineStr">
        <is>
          <t>google-ads-cwt3</t>
        </is>
      </c>
      <c r="B6" s="5" t="inlineStr">
        <is>
          <t>terça 13:43</t>
        </is>
      </c>
      <c r="C6" s="5" t="n">
        <v>2</v>
      </c>
      <c r="D6" s="5" t="n">
        <v>4</v>
      </c>
      <c r="E6" s="5" t="inlineStr">
        <is>
          <t>2 disparos manuais (06 e 07/10)</t>
        </is>
      </c>
    </row>
    <row r="7">
      <c r="A7" s="5" t="inlineStr">
        <is>
          <t>rd-station-pDLk</t>
        </is>
      </c>
      <c r="B7" s="5" t="inlineStr">
        <is>
          <t>diária 12:20</t>
        </is>
      </c>
      <c r="C7" s="5" t="n">
        <v>15</v>
      </c>
      <c r="D7" s="5" t="n">
        <v>17</v>
      </c>
      <c r="E7" s="5" t="inlineStr">
        <is>
          <t>2 disparos manuais</t>
        </is>
      </c>
    </row>
    <row r="8">
      <c r="A8" s="5" t="inlineStr">
        <is>
          <t>gmail-cF2Q</t>
        </is>
      </c>
      <c r="B8" s="5" t="inlineStr">
        <is>
          <t>diária 05:00</t>
        </is>
      </c>
      <c r="C8" s="5" t="n">
        <v>15</v>
      </c>
      <c r="D8" s="5" t="n">
        <v>17</v>
      </c>
      <c r="E8" s="5" t="inlineStr">
        <is>
          <t>2 disparos manuais</t>
        </is>
      </c>
    </row>
    <row r="9">
      <c r="A9" s="5" t="inlineStr">
        <is>
          <t>linear-byrt</t>
        </is>
      </c>
      <c r="B9" s="5" t="inlineStr">
        <is>
          <t>diária 04:20</t>
        </is>
      </c>
      <c r="C9" s="5" t="n">
        <v>15</v>
      </c>
      <c r="D9" s="5" t="n">
        <v>16</v>
      </c>
      <c r="E9" s="5" t="inlineStr">
        <is>
          <t>1 disparo manual</t>
        </is>
      </c>
    </row>
    <row r="10">
      <c r="A10" s="5" t="inlineStr">
        <is>
          <t>query-9dz7 (RD)</t>
        </is>
      </c>
      <c r="B10" s="5" t="inlineStr">
        <is>
          <t>diária 14:10</t>
        </is>
      </c>
      <c r="C10" s="5" t="n">
        <v>14</v>
      </c>
      <c r="D10" s="5" t="n">
        <v>15</v>
      </c>
      <c r="E10" s="5" t="inlineStr">
        <is>
          <t>1 disparo manual; a de 15/10 ainda não rodou</t>
        </is>
      </c>
    </row>
    <row r="11">
      <c r="A11" s="5" t="inlineStr">
        <is>
          <t>facebook-ads-8RYU</t>
        </is>
      </c>
      <c r="B11" s="5" t="inlineStr">
        <is>
          <t>terça</t>
        </is>
      </c>
      <c r="C11" s="5" t="n">
        <v>0</v>
      </c>
      <c r="D11" s="5" t="n">
        <v>1</v>
      </c>
      <c r="E11" s="5" t="inlineStr">
        <is>
          <t>1ª execução da fonte (carga inicial, que não é cobrada)</t>
        </is>
      </c>
    </row>
    <row r="12">
      <c r="A12" s="5" t="inlineStr">
        <is>
          <t>query-8nEt (depois do notebook)</t>
        </is>
      </c>
      <c r="B12" s="5" t="inlineStr">
        <is>
          <t>evento</t>
        </is>
      </c>
      <c r="C12" s="5" t="n">
        <v>53</v>
      </c>
      <c r="D12" s="5" t="n">
        <v>53</v>
      </c>
      <c r="E12" s="5" t="inlineStr">
        <is>
          <t>segue cada sucesso do notebook: 53 contra 53</t>
        </is>
      </c>
    </row>
    <row r="13">
      <c r="A13" s="5" t="inlineStr">
        <is>
          <t>notebook-Rbpo</t>
        </is>
      </c>
      <c r="B13" s="5" t="inlineStr">
        <is>
          <t>diária até 07/10; depois a cada 4h</t>
        </is>
      </c>
      <c r="C13" s="5" t="inlineStr">
        <is>
          <t>≈55</t>
        </is>
      </c>
      <c r="D13" s="5" t="inlineStr">
        <is>
          <t>53 (+3 falhas)</t>
        </is>
      </c>
      <c r="E13" s="5" t="inlineStr">
        <is>
          <t>as 3 falhas de 13/10 não são cobradas; 4 disparos manuais</t>
        </is>
      </c>
    </row>
    <row r="15">
      <c r="A15" t="inlineStr">
        <is>
          <t>Regra oficial (documentação da Nekt, 15/10): 1 crédito por execução bem-sucedida de fonte, consulta, notebook, histórico ou destino. Execução com falha, carga inicial de uma fonte e volume de linhas não são cobrados.</t>
        </is>
      </c>
    </row>
    <row r="16">
      <c r="A16" t="inlineStr">
        <is>
          <t>Estimativa de consumo de 01 a 15/10: 3.100 a 3.750 agendados (o notebook custou menos na primeira semana, quando era diário) + cerca de 600 manuais = 3.700 a 4.400 créditos (41% a 49% do limite; o mês passou 48%). É uma estimativa: a tabela nekt_runs não está acessível ao token. Conferência definitiva em Workspace Settings › Billing.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40" customWidth="1" min="3" max="3"/>
    <col width="70" customWidth="1" min="4" max="4"/>
  </cols>
  <sheetData>
    <row r="1">
      <c r="A1" s="4" t="inlineStr">
        <is>
          <t>Número</t>
        </is>
      </c>
      <c r="B1" s="4" t="inlineStr">
        <is>
          <t>Como foi medido</t>
        </is>
      </c>
      <c r="C1" s="4" t="inlineStr">
        <is>
          <t>Quando / valores</t>
        </is>
      </c>
      <c r="D1" s="4" t="inlineStr">
        <is>
          <t>Limite ou observação</t>
        </is>
      </c>
    </row>
    <row r="2">
      <c r="A2" s="5" t="inlineStr">
        <is>
          <t>209 contas aplicáveis</t>
        </is>
      </c>
      <c r="B2" s="5" t="inlineStr">
        <is>
          <t>Planilha oficial de contas de 16/10 (aba Contas), excluindo 13 da Nova Era, 2 duplicatas de RD e 18 de ex-clientes, inativos, duplicidade ou decisão de não conectar</t>
        </is>
      </c>
      <c r="C2" s="5" t="inlineStr">
        <is>
          <t>Inventário #1743 de 16/10 (242 linhas)</t>
        </is>
      </c>
      <c r="D2" s="5" t="inlineStr">
        <is>
          <t>Soma por plataforma: Meta 96, Google 50, RD 56, TikTok e LinkedIn 7</t>
        </is>
      </c>
    </row>
    <row r="3">
      <c r="A3" s="5" t="inlineStr">
        <is>
          <t>Meta: 70 de 96 com leitura confirmada</t>
        </is>
      </c>
      <c r="B3" s="5" t="inlineStr">
        <is>
          <t>COUNT(*) e MAX(date_start) na tabela facebook_ads_adsinsights de cada uma das 64 camadas novas; Trusted consolidada para as 7 antigas</t>
        </is>
      </c>
      <c r="C3" s="5" t="inlineStr">
        <is>
          <t>21/10 (leitura de hoje; 15/10 para as linhas por camada)</t>
        </is>
      </c>
      <c r="D3" s="5" t="inlineStr">
        <is>
          <t>Compara com o gasto de 13–19/10 lido no Graph da Meta em 21/10 (286 contas relidas, uma devolveu 403). Contagem de linhas e último dado medidos em 21/10 por COUNT(*) e MAX(date_start).</t>
        </is>
      </c>
    </row>
    <row r="4">
      <c r="A4" s="5" t="inlineStr">
        <is>
          <t>Meta: 50 contas com gasto, todas dentro de 1% (68 em reais)</t>
        </is>
      </c>
      <c r="B4" s="5" t="inlineStr">
        <is>
          <t>SUM(spend) de 13–19/10 por camada contra o gasto de 7 dias da Meta para a mesma conta (leitura de 21/10)</t>
        </is>
      </c>
      <c r="C4" s="5" t="inlineStr">
        <is>
          <t>21/10</t>
        </is>
      </c>
      <c r="D4" s="5" t="inlineStr">
        <is>
          <t>Maior diferença R$ 6,06; totais R$ 72.067,79 (Nekt) e R$ 72.088,53 (Meta). Um lote de consulta devolveu resultados em posição trocada; 11 contas foram relidas uma a uma e a conferência cruzada com a Nekt não achou divergência acima de 1%</t>
        </is>
      </c>
    </row>
    <row r="5">
      <c r="A5" s="5" t="inlineStr">
        <is>
          <t>Google: 41 de 50 com leitura confirmada</t>
        </is>
      </c>
      <c r="B5" s="5" t="inlineStr">
        <is>
          <t>trs_google_ads__insight_diario (MAX(data), SUM(investimento)) contra query_gaql por conta no MCC 1704439246; Prestex pela tabela semanal contra o MCC</t>
        </is>
      </c>
      <c r="C5" s="5" t="inlineStr">
        <is>
          <t>21/10 (Nekt) e referência do MCC de 16/10</t>
        </is>
      </c>
      <c r="D5" s="5" t="inlineStr">
        <is>
          <t>Referência de plataforma do Google NÃO relida em 21/10 (a ferramenta de consulta do MCC não estava conectada); vale a leitura de 16/10. A Nekt foi re-medida hoje. 85 contas no MCC em 15/10 (eram 88 em 05/10). Três contas Unipar ficam fora do MCC da Vanguarda e não têm referência independente</t>
        </is>
      </c>
    </row>
    <row r="6">
      <c r="A6" s="5" t="inlineStr">
        <is>
          <t>Google: 34 contas em reais, 26 com gasto, todas dentro de 1%</t>
        </is>
      </c>
      <c r="B6" s="5" t="inlineStr">
        <is>
          <t>SUM(investimento) de 13/09–12/10 contra cost_micros por conta (comparação de 15/10, sem as contas que saíram do escopo)</t>
        </is>
      </c>
      <c r="C6" s="5" t="inlineStr">
        <is>
          <t>21/10 (Nekt) contra MCC de 16/10</t>
        </is>
      </c>
      <c r="D6" s="5" t="inlineStr">
        <is>
          <t>Maior diferença R$ 0,78; totais R$ 90.422,37 (Nekt, relida em 21/10) e R$ 90.423,09 (MCC de 16/10)</t>
        </is>
      </c>
    </row>
    <row r="7">
      <c r="A7" s="5" t="inlineStr">
        <is>
          <t>Cobertura por gasto Meta 64,5%</t>
        </is>
      </c>
      <c r="B7" s="5" t="inlineStr">
        <is>
          <t>Gasto das contas com leitura confirmada ÷ gasto de todas as contas em reais do MCC da Meta, 13–19/10</t>
        </is>
      </c>
      <c r="C7" s="5" t="inlineStr">
        <is>
          <t>R$ 72.088,53 ÷ R$ 111.727,79 (era 65,4% em 02–08/10)</t>
        </is>
      </c>
      <c r="D7" s="5" t="inlineStr">
        <is>
          <t>Contas em dólar e euro ficam de fora e não foram relidas hoje (16/10: US$ 679,32 em 7 dias). Inclui uma conta nova do MCC, 1675573549548233 (R$ 758,34), que não consta no inventário</t>
        </is>
      </c>
    </row>
    <row r="8">
      <c r="A8" s="5" t="inlineStr">
        <is>
          <t>Cobertura por gasto Google 97,1%</t>
        </is>
      </c>
      <c r="B8" s="5" t="inlineStr">
        <is>
          <t>Idem, 13/09–12/10, sem as 5 contas Nova Era e sem as 6 contas de ex-clientes/inativos e as 2 contas de duplicidade e decisão</t>
        </is>
      </c>
      <c r="C8" s="5" t="inlineStr">
        <is>
          <t>R$ 101.708,91 ÷ R$ 104.743,53</t>
        </is>
      </c>
      <c r="D8" s="5" t="inlineStr">
        <is>
          <t>O salto sobre os 71,2% de 15/10 (já em 16/10) vem do denominador; referência do MCC de 16/10. Com a Nova Era e os ex-clientes no denominador: 64,9% (denominador R$ 156.648,99)</t>
        </is>
      </c>
    </row>
    <row r="9">
      <c r="A9" s="5" t="inlineStr">
        <is>
          <t>RD: 48 de 56 com dado presente</t>
        </is>
      </c>
      <c r="B9" s="5" t="inlineStr">
        <is>
          <t>Trusted de contatos e conversões por fonte (30 antigas) e COUNT(*) das 3 tabelas de cada fonte nova (19)</t>
        </is>
      </c>
      <c r="C9" s="5" t="inlineStr">
        <is>
          <t>15/10</t>
        </is>
      </c>
      <c r="D9" s="5" t="inlineStr">
        <is>
          <t>Conferência por amostra de 9 contagens do subagente contra o banco: 9 de 9 iguais</t>
        </is>
      </c>
    </row>
    <row r="10">
      <c r="A10" s="5" t="inlineStr">
        <is>
          <t>CAA Alumínio e CAA Tintas são a mesma conta RD</t>
        </is>
      </c>
      <c r="B10" s="5" t="inlineStr">
        <is>
          <t>JOIN por uuid entre as duas tabelas de contatos</t>
        </is>
      </c>
      <c r="C10" s="5" t="inlineStr">
        <is>
          <t>15/10</t>
        </is>
      </c>
      <c r="D10" s="5" t="inlineStr">
        <is>
          <t>2.125 contatos em comum de 2.125 em cada lado</t>
        </is>
      </c>
    </row>
    <row r="11">
      <c r="A11" s="5" t="inlineStr">
        <is>
          <t>Instagram e Páginas</t>
        </is>
      </c>
      <c r="B11" s="5" t="inlineStr">
        <is>
          <t>COUNT(*) em 15 tabelas por fonte de Instagram e 8 de Páginas</t>
        </is>
      </c>
      <c r="C11" s="5" t="inlineStr">
        <is>
          <t>15/10</t>
        </is>
      </c>
      <c r="D11" s="5" t="inlineStr">
        <is>
          <t>Duas fontes de Páginas (PPsY, ftS8) sem camada identificada; camadas de IG e Páginas casadas pelo nome na descrição e conferidas por username/nome da página</t>
        </is>
      </c>
    </row>
    <row r="12">
      <c r="A12" s="5" t="inlineStr">
        <is>
          <t>Sistemas internos</t>
        </is>
      </c>
      <c r="B12" s="5" t="inlineStr">
        <is>
          <t>COUNT(*) e MAX(_extraido_at) nas tabelas Trusted de cada sistema; execuções por list_pipeline_runs</t>
        </is>
      </c>
      <c r="C12" s="5" t="inlineStr">
        <is>
          <t>15/10</t>
        </is>
      </c>
      <c r="D12" s="5" t="inlineStr">
        <is>
          <t>GitHub e webhook Z-API re-medidos hoje: 0 linhas</t>
        </is>
      </c>
    </row>
    <row r="13">
      <c r="A13" s="5" t="inlineStr">
        <is>
          <t>Saneamento 1.483 de 1.485 (99,9%)</t>
        </is>
      </c>
      <c r="B13" s="5" t="inlineStr">
        <is>
          <t>Tabelas de resultado das 37 suítes de qualidade</t>
        </is>
      </c>
      <c r="C13" s="5" t="inlineStr">
        <is>
          <t>21/10</t>
        </is>
      </c>
      <c r="D13" s="5" t="inlineStr">
        <is>
          <t>Mede o que já chegou, não a cobertura. 1 alerta (grupo_anuncio.campanha_catalogada, 85,55%: a Prestex não está na dimensão de campanha) e 1 bloqueante (vbot_wl_simples.carga_do_mesmo_dia, efeito da rodada manual de 20/10, se resolve em 26/10)</t>
        </is>
      </c>
    </row>
    <row r="14">
      <c r="A14" s="5" t="inlineStr">
        <is>
          <t>Fontes com sucesso: 282 de 300 (94%)</t>
        </is>
      </c>
      <c r="B14" s="5" t="inlineStr">
        <is>
          <t>list_pipeline_runs em cada fonte publicada</t>
        </is>
      </c>
      <c r="C14" s="5" t="inlineStr">
        <is>
          <t>varredura de 21/10 (~09h de Manaus)</t>
        </is>
      </c>
      <c r="D14" s="5" t="inlineStr">
        <is>
          <t>Saúde de pipeline, não cobertura. Eram 235 de 252 em 16/10: entraram 48 fontes de Instagram e Páginas (todas manuais, com sucesso, ainda fora das Trusted). Falhas: 13 Meta, 1 Google, 1 RD, 2 iClips, 1 Semrush</t>
        </is>
      </c>
    </row>
    <row r="15">
      <c r="A15" s="5" t="inlineStr">
        <is>
          <t>Regra de créditos</t>
        </is>
      </c>
      <c r="B15" s="5" t="inlineStr">
        <is>
          <t>Documentação oficial da Nekt via ask_nekt</t>
        </is>
      </c>
      <c r="C15" s="5" t="inlineStr">
        <is>
          <t>15/10</t>
        </is>
      </c>
      <c r="D15" s="5" t="inlineStr">
        <is>
          <t>1 crédito por execução bem-sucedida; falhas e carga inicial gratuitas; volume não conta</t>
        </is>
      </c>
    </row>
    <row r="16">
      <c r="A16" s="5" t="inlineStr">
        <is>
          <t>Modelo de cadência validado</t>
        </is>
      </c>
      <c r="B16" s="5" t="inlineStr">
        <is>
          <t>list_pipeline_runs (01–15/10) em 12 pipelines contra a cadência esperada</t>
        </is>
      </c>
      <c r="C16" s="5" t="inlineStr">
        <is>
          <t>15/10</t>
        </is>
      </c>
      <c r="D16" s="5" t="inlineStr">
        <is>
          <t>Agendado bate em 11 pipelines e aproximadamente no notebook; o excedente são execuções manuais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0" customWidth="1" min="2" max="2"/>
  </cols>
  <sheetData>
    <row r="1">
      <c r="A1" s="4" t="inlineStr">
        <is>
          <t>Pergunta provável</t>
        </is>
      </c>
      <c r="B1" s="4" t="inlineStr">
        <is>
          <t>Resposta</t>
        </is>
      </c>
    </row>
    <row r="2">
      <c r="A2" s="5" t="inlineStr">
        <is>
          <t>Por que o saneamento é 100% e a cobertura não?</t>
        </is>
      </c>
      <c r="B2" s="5" t="inlineStr">
        <is>
          <t>São duas perguntas diferentes. O saneamento mede a qualidade do que já entrou (1.483 de 1.485 regras). A cobertura mede o que ainda não entrou: 76,1% das contas aplicáveis têm leitura confirmada. Um dado perfeito de três quartos das contas é uma base limpa e incompleta.</t>
        </is>
      </c>
    </row>
    <row r="3">
      <c r="A3" s="5" t="inlineStr">
        <is>
          <t>Como vocês sabem que o dado da Nekt está certo?</t>
        </is>
      </c>
      <c r="B3" s="5" t="inlineStr">
        <is>
          <t>Comparamos a Nekt com a própria plataforma, conta a conta. Meta: 68 contas em reais comparadas (52 com gasto), todas dentro de 1%, maior diferença R$ 0,41, total R$ 64.652,99 na Nekt contra R$ 64.650,41 na Meta (0,004%). Google: 34 contas em reais (26 com gasto), todas dentro de 1%, maior diferença R$ 1,49, total R$ 90.426,30 contra R$ 90.423,09 (0,0035%); a Prestex entra à parte, em granularidade semanal (R$ 10.958,01 dos dois lados nas 4 semanas fechadas). Para o RD não existe referência independente; a validação é presença de dado.</t>
        </is>
      </c>
    </row>
    <row r="4">
      <c r="A4" s="5" t="inlineStr">
        <is>
          <t>Conta sem veiculação conta como coberta?</t>
        </is>
      </c>
      <c r="B4" s="5" t="inlineStr">
        <is>
          <t>Conta com leitura confirmada em zero conta como coberta porque a Nekt e a plataforma dizem a mesma coisa (nada a ler). Mas separamos: "dado ativo" (62,7%) é a visão que exclui essas contas. A Diretoria pode usar qualquer das duas, desde que saiba qual.</t>
        </is>
      </c>
    </row>
    <row r="5">
      <c r="A5" s="5" t="inlineStr">
        <is>
          <t>O que impede os 100%?</t>
        </is>
      </c>
      <c r="B5" s="5" t="inlineStr">
        <is>
          <t>Quatro coisas externas: atribuição das contas Meta no Business Manager, OAuth das 18 contas Meta pendentes, autorização do MCC Google (reautorização e contas novas) e IDs que faltam. Nenhuma se resolve pela Nekt. Não há mais teto abaixo de 100%: Spotify e X deixaram de ter conta aplicável (só havia Pátio Gourmet) e TikTok e LinkedIn têm conector.</t>
        </is>
      </c>
    </row>
    <row r="6">
      <c r="A6" s="5" t="inlineStr">
        <is>
          <t>Por que as datas são "estimativas"?</t>
        </is>
      </c>
      <c r="B6" s="5" t="inlineStr">
        <is>
          <t>Porque dependem de pessoas fora da Nekt e da cadência semanal. Meta e Google rodam às terças; uma conta autorizada na quarta só entra na terça seguinte. Cada semana de atraso no destravamento desloca a conclusão em uma semana.</t>
        </is>
      </c>
    </row>
    <row r="7">
      <c r="A7" s="5" t="inlineStr">
        <is>
          <t>Quando chegamos a 100% das contas aplicáveis?</t>
        </is>
      </c>
      <c r="B7" s="5" t="inlineStr">
        <is>
          <t>Em 04/11/2026, SE todas as dependências externas forem entregues até 23/10. É uma estimativa condicional, não um compromisso. Contas que a agência decidir não conectar (CDL por plano, por exemplo) precisam sair do denominador para o 100% ser alcançável.</t>
        </is>
      </c>
    </row>
    <row r="8">
      <c r="A8" s="5" t="inlineStr">
        <is>
          <t>Os 9.000 créditos comportam o plano?</t>
        </is>
      </c>
      <c r="B8" s="5" t="inlineStr">
        <is>
          <t>Depende de três escolhas. Sem execuções manuais e com a regra de gatilho "todas" na Trusted de Facebook, o plano termina em 88% (7.888). Com 300 créditos manuais por mês fica em 91% (8.188). Com o ritmo manual de outubro (cerca de 1.200 por mês) passa de 100% (9.088, 101%). Com a regra "qualquer" no gatilho da Trusted de Facebook, o mesmo plano vai a 97% (8.732) com 300 manuais e a 107% (9.632) com o ritmo de outubro. MODELO DE 15/10, NÃO REFEITO EM 21/10: o notebook do iClips está inativo desde 19/10 (consumo corrente menor que o modelo) e as 48 fontes novas de Instagram e Páginas não entram na conta. Os números caíram em relação a 15/10 porque 8 contas saíram do plano (13 fontes a menos para publicar).</t>
        </is>
      </c>
    </row>
    <row r="9">
      <c r="A9" s="5" t="inlineStr">
        <is>
          <t>Qual a base da conta de créditos?</t>
        </is>
      </c>
      <c r="B9" s="5" t="inlineStr">
        <is>
          <t>A regra oficial da Nekt: 1 crédito por execução bem-sucedida de fonte, consulta, notebook, histórico ou destino; execução com falha e a carga inicial de uma fonte não são cobradas; volume de linhas não entra. Testamos o modelo em 12 pipelines de 01 a 15/10: a cadência agendada bate exatamente em 11 e aproximadamente no notebook do iClips (mudou de cadência em 07/10; cerca de 55 esperadas, 53 com sucesso e 3 falhas não cobradas); o que passa do esperado são execuções manuais.</t>
        </is>
      </c>
    </row>
    <row r="10">
      <c r="A10" s="5" t="inlineStr">
        <is>
          <t>Vocês mediram o consumo real do mês?</t>
        </is>
      </c>
      <c r="B10" s="5" t="inlineStr">
        <is>
          <t>Não. A tabela de metadados que registra o consumo (nekt_runs) não está acessível ao token usado. O consumo de 01 a 15/10 é estimado em 3.700 a 4.400 créditos (41% a 49%; o mês passou 48%). A conferência definitiva é em Workspace Settings › Billing.</t>
        </is>
      </c>
    </row>
    <row r="11">
      <c r="A11" s="5" t="inlineStr">
        <is>
          <t>O que custa uma execução manual?</t>
        </is>
      </c>
      <c r="B11" s="5" t="inlineStr">
        <is>
          <t>A da MySQL do VJOB dispara a cadeia inteira: cerca de 93 créditos (1% do limite). A do Google Ads, cerca de 97. Em 01 a 15/10 foram identificadas 16 execuções manuais nas 12 fontes e consultas medidas, cerca de 600 créditos estimados.</t>
        </is>
      </c>
    </row>
    <row r="12">
      <c r="A12" s="5" t="inlineStr">
        <is>
          <t>Por que Instagram e Páginas não têm percentual?</t>
        </is>
      </c>
      <c r="B12" s="5" t="inlineStr">
        <is>
          <t>Porque não existe lista de quais contas a agência exige; sem denominador, qualquer percentual seria inventado. O que está medido: 26 fontes criadas em 13–15/10, todas manuais, todas com sucesso, mas o Instagram traz de 0 a 9 posts de contas com 101 a 4.278.</t>
        </is>
      </c>
    </row>
    <row r="13">
      <c r="A13" s="5" t="inlineStr">
        <is>
          <t>Os números mudaram em relação ao que foi mostrado antes?</t>
        </is>
      </c>
      <c r="B13" s="5" t="inlineStr">
        <is>
          <t>Sim, e esta é a razão principal: em 16/10 a Jussara informou que Pátio Gourmet, Mari Mari, Olá Casa Nova, Hope Bay Park, Julia Herrera e UIARA deixaram de ser clientes ou estão inativos, que a conta 2 do Dr. Cabral é duplicidade e que a conta viva do Santo Remédio não será conectada por ora. Isso tirou 18 linhas do denominador (227 para 209) sem criar leitura nova, e por isso a cobertura de leitura passou de 70,0% para 76,1% e a cobertura do gasto Google de 71,2% para 97,1%: o salto do Google vem do denominador, não de dado novo (as contas que saíram carregavam R$ 25.414,77 de gasto sem leitura). Duas mudanças são de dado: a Prestex passou a ler (16/10: primeiro sucesso desde 08/09) e as 14 contas Google com erro de cota em 14/10 voltaram a ter sucesso. Registro de 15/10 mantido: a Japurá tem dado (3.189 linhas); o Google "38 validadas" contava sucesso de execução e passou a contar leitura comparada com o MCC.</t>
        </is>
      </c>
    </row>
    <row r="14">
      <c r="A14" s="5" t="inlineStr">
        <is>
          <t>O que não foi medido?</t>
        </is>
      </c>
      <c r="B14" s="5" t="inlineStr">
        <is>
          <t>Gasto de contas em dólar e euro fora do Google (Move) e Meta (2 contas); gasto da Meta em janela diferente de 02–08/10 (refeito em 21/10 só no lado Meta; a referência do Google segue sendo a de 16/10); cobertura do RD por referência independente; a causa da extração mínima do Instagram; as duas fontes de Páginas sem camada; o consumo real de créditos. Premissas minhas, ainda sem confirmação: Dr. Cabral conta 2 (4YJU) tratada como a duplicada; CDL tratada como bloqueada por plano; Santo Remédio antigo (AMd2) e as Meta f6h8 e geQA não foram abordadas e seguem como estavam.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2026-10-21T12:34:28Z</dcterms:created>
  <dcterms:modified xsi:type="dcterms:W3CDTF">2026-10-21T12:34:28Z</dcterms:modified>
</cp:coreProperties>
</file>