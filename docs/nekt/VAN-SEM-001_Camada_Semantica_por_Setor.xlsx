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ídia Paga" sheetId="2" state="visible" r:id="rId2"/>
    <sheet name="Inbound" sheetId="3" state="visible" r:id="rId3"/>
    <sheet name="Account" sheetId="4" state="visible" r:id="rId4"/>
    <sheet name="Criação" sheetId="5" state="visible" r:id="rId5"/>
    <sheet name="Direção de Arte" sheetId="6" state="visible" r:id="rId6"/>
    <sheet name="Dir. Operações" sheetId="7" state="visible" r:id="rId7"/>
    <sheet name="RH" sheetId="8" state="visible" r:id="rId8"/>
    <sheet name="Dir. Executiva" sheetId="9" state="visible" r:id="rId9"/>
    <sheet name="Social Media" sheetId="10" state="visible" r:id="rId10"/>
    <sheet name="Financeiro" sheetId="11" state="visible" r:id="rId11"/>
    <sheet name="Planej. Estrat. e Inovação" sheetId="12" state="visible" r:id="rId12"/>
    <sheet name="Consolidad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2D5C"/>
      <sz val="14"/>
    </font>
    <font>
      <name val="Arial"/>
      <color rgb="00595959"/>
      <sz val="9"/>
    </font>
    <font>
      <name val="Arial"/>
      <b val="1"/>
      <color rgb="001F4E2C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9"/>
    </font>
    <font>
      <name val="Arial"/>
      <sz val="10"/>
    </font>
    <font>
      <name val="Arial"/>
      <color rgb="001F3864"/>
      <sz val="9"/>
    </font>
    <font>
      <name val="Arial"/>
      <b val="1"/>
      <color rgb="001F4E2C"/>
      <sz val="10"/>
    </font>
    <font>
      <name val="Arial"/>
      <b val="1"/>
      <color rgb="001F2D5C"/>
      <sz val="16"/>
    </font>
  </fonts>
  <fills count="9">
    <fill>
      <patternFill/>
    </fill>
    <fill>
      <patternFill patternType="gray125"/>
    </fill>
    <fill>
      <patternFill patternType="solid">
        <fgColor rgb="00E8F3EC"/>
      </patternFill>
    </fill>
    <fill>
      <patternFill patternType="solid">
        <fgColor rgb="002E75B6"/>
      </patternFill>
    </fill>
    <fill>
      <patternFill patternType="solid">
        <fgColor rgb="00FFF3CD"/>
      </patternFill>
    </fill>
    <fill>
      <patternFill patternType="solid">
        <fgColor rgb="001F2D5C"/>
      </patternFill>
    </fill>
    <fill>
      <patternFill patternType="solid">
        <fgColor rgb="00FAFAFA"/>
      </patternFill>
    </fill>
    <fill>
      <patternFill patternType="solid">
        <fgColor rgb="00F2F2F2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8" customWidth="1" min="3" max="3"/>
  </cols>
  <sheetData>
    <row r="1">
      <c r="B1" s="1" t="inlineStr">
        <is>
          <t>Levantamento para a Camada Semântica</t>
        </is>
      </c>
    </row>
    <row r="2">
      <c r="B2" s="2" t="inlineStr">
        <is>
          <t>VAN-SEM-001  |  Versão 1.0  |  Emissão 11/09/2026  |  uso interno</t>
        </is>
      </c>
    </row>
    <row r="3">
      <c r="B3" s="2" t="inlineStr">
        <is>
          <t>Plataforma de Dados Nekt — Vanguarda Martech</t>
        </is>
      </c>
    </row>
    <row r="5" ht="39" customHeight="1">
      <c r="B5" s="3" t="inlineStr">
        <is>
          <t>O que é camada semântica</t>
        </is>
      </c>
      <c r="C5" s="4" t="inlineStr">
        <is>
          <t>É a documentação que diz O QUE O NÚMERO SIGNIFICA e COMO LÊ-LO SEM ERRAR. Não descreve como o trabalho é feito — descreve como o dado deve ser interpretado. Sem ela, cada relatório recalcula a métrica do seu jeito e dois times chegam a números diferentes para a mesma pergunta.</t>
        </is>
      </c>
    </row>
    <row r="6" ht="30" customHeight="1">
      <c r="B6" s="3" t="inlineStr">
        <is>
          <t>O que este formulário NÃO é</t>
        </is>
      </c>
      <c r="C6" s="4" t="inlineStr">
        <is>
          <t>Não é mapeamento de processo. Não pede RACI, risco, competência, treinamento, retenção documental nem fluxo. Isso pertence ao SGQ e tem formulário próprio (VAN-FOR-SGQ-001).</t>
        </is>
      </c>
    </row>
    <row r="7" ht="30" customHeight="1">
      <c r="B7" s="3" t="inlineStr">
        <is>
          <t>Quanto tempo leva</t>
        </is>
      </c>
      <c r="C7" s="4" t="inlineStr">
        <is>
          <t>Entre 20 e 40 minutos por setor. A maior parte já vem preenchida; você valida.</t>
        </is>
      </c>
    </row>
    <row r="8" ht="39" customHeight="1">
      <c r="B8" s="3" t="inlineStr">
        <is>
          <t>As linhas azuis já vêm prontas</t>
        </is>
      </c>
      <c r="C8" s="4" t="inlineStr">
        <is>
          <t>São o que a plataforma de dados hoje sabe do seu setor: indicadores que já existem, armadilhas já medidas, tabelas que já rodam. CONFIRME, CORRIJA ou APAGUE. Se você discordar, a sua versão vale — você conhece o setor, eu conheço a tabela.</t>
        </is>
      </c>
    </row>
    <row r="9" ht="79.5" customHeight="1">
      <c r="B9" s="3" t="inlineStr">
        <is>
          <t>Os três blocos</t>
        </is>
      </c>
      <c r="C9" s="4" t="inlineStr">
        <is>
          <t>1) PERGUNTAS que você precisa responder com dado. É o que define o que a plataforma tem de servir; marcar 'Não' em 'Hoje consegue responder?' não é confissão de falha, é pedido de trabalho.
2) INDICADORES: nome, cálculo em palavras, unidade, recorte.
3) VOCABULÁRIO: o que cada termo significa no seu setor.</t>
        </is>
      </c>
    </row>
    <row r="10" ht="64" customHeight="1">
      <c r="B10" s="3" t="inlineStr">
        <is>
          <t>A coluna mais importante</t>
        </is>
      </c>
      <c r="C10" s="4" t="inlineStr">
        <is>
          <t>'O QUE NÃO VALE FAZER COM ELE', no bloco 2. É ela que evita o erro caro. Exemplos reais desta casa: não somar investimento entre moedas diferentes; não somar a coluna já arredondada; não usar o contador de atraso do VJOB como KPI enquanto a própria casa o classifica como inválido. Se você sabe de um jeito errado de ler um número seu, escreva ali — é a informação mais valiosa do formulário.</t>
        </is>
      </c>
    </row>
    <row r="11" ht="39" customHeight="1">
      <c r="B11" s="3" t="inlineStr">
        <is>
          <t>Por que vocabulário importa tanto</t>
        </is>
      </c>
      <c r="C11" s="4" t="inlineStr">
        <is>
          <t>'Job', 'verba', 'entrega' e 'cliente' significam coisas diferentes em Account, Mídia e Operações. Ninguém percebe até o número não bater numa reunião. Escrever a definição custa dois minutos e evita a discussão inteira.</t>
        </is>
      </c>
    </row>
    <row r="12" ht="30" customHeight="1">
      <c r="B12" s="3" t="inlineStr">
        <is>
          <t>Cores</t>
        </is>
      </c>
      <c r="C12" s="4" t="inlineStr">
        <is>
          <t>Azul-claro = já preenchido, para validar. Amarelo = campo seu, em branco. Verde = calculado, não digite. Cinza claro = coluna não usada naquele bloco.</t>
        </is>
      </c>
    </row>
    <row r="13" ht="39" customHeight="1">
      <c r="B13" s="3" t="inlineStr">
        <is>
          <t>O que acontece depois</t>
        </is>
      </c>
      <c r="C13" s="4" t="inlineStr">
        <is>
          <t>Cada aba devolvida vira um documento de contexto na camada semântica da Nekt, com as fórmulas e as regras de leitura que você declarou. A partir daí, toda consulta — feita por pessoa ou por IA — passa a enxergar a sua definição antes de calcular.</t>
        </is>
      </c>
    </row>
    <row r="14" ht="30" customHeight="1">
      <c r="B14" s="3" t="inlineStr">
        <is>
          <t>Devolução</t>
        </is>
      </c>
      <c r="C14" s="4" t="inlineStr">
        <is>
          <t>Devolver a planilha inteira, com todas as abas. A aba Consolidado mostra sozinha quem já concluiu.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Mídia Paga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Quanto cada cliente investiu no período, por plataforma?</t>
        </is>
      </c>
      <c r="B16" s="12" t="inlineStr">
        <is>
          <t>Realocação de verba entre contas</t>
        </is>
      </c>
      <c r="C16" s="12" t="inlineStr">
        <is>
          <t>Semanal</t>
        </is>
      </c>
      <c r="D16" s="13" t="n"/>
      <c r="E16" s="12" t="inlineStr">
        <is>
          <t>rfn_midia__desempenho_diario</t>
        </is>
      </c>
      <c r="F16" s="13" t="n"/>
      <c r="G16" s="12" t="inlineStr">
        <is>
          <t>pré-preenchido — confirme ou corrija</t>
        </is>
      </c>
    </row>
    <row r="17" ht="34" customHeight="1">
      <c r="A17" s="12" t="inlineStr">
        <is>
          <t>Quais campanhas estão sem entrega e há quantos dias?</t>
        </is>
      </c>
      <c r="B17" s="12" t="inlineStr">
        <is>
          <t>Pausar ou reativar campanha</t>
        </is>
      </c>
      <c r="C17" s="12" t="inlineStr">
        <is>
          <t>Semanal</t>
        </is>
      </c>
      <c r="D17" s="13" t="n"/>
      <c r="E17" s="12" t="inlineStr">
        <is>
          <t>rfn_midia__desempenho_diario</t>
        </is>
      </c>
      <c r="F17" s="13" t="n"/>
      <c r="G17" s="12" t="inlineStr">
        <is>
          <t>pré-preenchido — confirme ou corrija</t>
        </is>
      </c>
    </row>
    <row r="18" ht="34" customHeight="1">
      <c r="A18" s="12" t="inlineStr">
        <is>
          <t>Qual o custo por conversão por conta e por canal?</t>
        </is>
      </c>
      <c r="B18" s="12" t="inlineStr">
        <is>
          <t>Ajuste de lance e de canal</t>
        </is>
      </c>
      <c r="C18" s="12" t="inlineStr">
        <is>
          <t>Semanal</t>
        </is>
      </c>
      <c r="D18" s="13" t="n"/>
      <c r="E18" s="12" t="inlineStr">
        <is>
          <t>rfn_midia__desempenho_diario</t>
        </is>
      </c>
      <c r="F18" s="13" t="n"/>
      <c r="G18" s="12" t="inlineStr">
        <is>
          <t>pré-preenchido — confirme ou corrija</t>
        </is>
      </c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Investimento</t>
        </is>
      </c>
      <c r="B32" s="12" t="inlineStr">
        <is>
          <t>Somar investimento_micros e dividir por 1.000.000</t>
        </is>
      </c>
      <c r="C32" s="12" t="inlineStr">
        <is>
          <t>R$ ou US$</t>
        </is>
      </c>
      <c r="D32" s="12" t="inlineStr">
        <is>
          <t>Conta, campanha, dia</t>
        </is>
      </c>
      <c r="E32" s="12" t="inlineStr">
        <is>
          <t>NÃO somar a coluna investimento (é arredondada por linha: acumulou R$ 0,90 em 42 mil linhas). NÃO somar BRL com USD.</t>
        </is>
      </c>
      <c r="F32" s="13" t="n"/>
      <c r="G32" s="12" t="inlineStr">
        <is>
          <t>pré-preenchido — confirme ou corrija</t>
        </is>
      </c>
    </row>
    <row r="33" ht="48" customHeight="1">
      <c r="A33" s="12" t="inlineStr">
        <is>
          <t>Cobertura demográfica</t>
        </is>
      </c>
      <c r="B33" s="12" t="inlineStr">
        <is>
          <t>Verba não-PMax ÷ verba total</t>
        </is>
      </c>
      <c r="C33" s="12" t="inlineStr">
        <is>
          <t>%</t>
        </is>
      </c>
      <c r="D33" s="12" t="inlineStr">
        <is>
          <t>Conta</t>
        </is>
      </c>
      <c r="E33" s="12" t="inlineStr">
        <is>
          <t>NÃO usar as tabelas de faixa etária/gênero para totalizar verba: PERFORMANCE_MAX não publica breakdown demográfico.</t>
        </is>
      </c>
      <c r="F33" s="13" t="n"/>
      <c r="G33" s="12" t="inlineStr">
        <is>
          <t>pré-preenchido — confirme ou corrija</t>
        </is>
      </c>
    </row>
    <row r="34" ht="48" customHeight="1">
      <c r="A34" s="12" t="inlineStr">
        <is>
          <t>Cobertura de termo de busca</t>
        </is>
      </c>
      <c r="B34" s="12" t="inlineStr">
        <is>
          <t>Verba com termo publicado ÷ verba de SEARCH+SHOPPING</t>
        </is>
      </c>
      <c r="C34" s="12" t="inlineStr">
        <is>
          <t>%</t>
        </is>
      </c>
      <c r="D34" s="12" t="inlineStr">
        <is>
          <t>Conta</t>
        </is>
      </c>
      <c r="E34" s="12" t="inlineStr">
        <is>
          <t>NÃO usar a verba total como denominador: DISPLAY, VIDEO e PMax não têm termo de busca para publicar.</t>
        </is>
      </c>
      <c r="F34" s="13" t="n"/>
      <c r="G34" s="12" t="inlineStr">
        <is>
          <t>pré-preenchido — confirme ou corrija</t>
        </is>
      </c>
    </row>
    <row r="35" ht="48" customHeight="1">
      <c r="A35" s="12" t="inlineStr">
        <is>
          <t>Conta defasada</t>
        </is>
      </c>
      <c r="B35" s="12" t="inlineStr">
        <is>
          <t>Dias desde a última data com entrega</t>
        </is>
      </c>
      <c r="C35" s="12" t="inlineStr">
        <is>
          <t>dias</t>
        </is>
      </c>
      <c r="D35" s="12" t="inlineStr">
        <is>
          <t>Conta</t>
        </is>
      </c>
      <c r="E35" s="12" t="inlineStr">
        <is>
          <t>NÃO ler como fonte parada: em 11 de 36 contas a extração rodou e teve sucesso — a conta é que parou de anunciar.</t>
        </is>
      </c>
      <c r="F35" s="13" t="n"/>
      <c r="G35" s="12" t="inlineStr">
        <is>
          <t>pré-preenchido — confirme ou corrija</t>
        </is>
      </c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Verba</t>
        </is>
      </c>
      <c r="B53" s="12" t="inlineStr">
        <is>
          <t>Investimento veiculado na plataforma de mídia, em micros na origem</t>
        </is>
      </c>
      <c r="C53" s="15" t="n"/>
      <c r="D53" s="15" t="n"/>
      <c r="E53" s="12" t="inlineStr">
        <is>
          <t>rfn_midia__desempenho_diario.investimento_micros</t>
        </is>
      </c>
      <c r="F53" s="15" t="n"/>
      <c r="G53" s="12" t="inlineStr">
        <is>
          <t>pré-preenchido — confirme ou corrija</t>
        </is>
      </c>
    </row>
    <row r="54" ht="34" customHeight="1">
      <c r="A54" s="12" t="inlineStr">
        <is>
          <t>Conta</t>
        </is>
      </c>
      <c r="B54" s="12" t="inlineStr">
        <is>
          <t>Unidade de cobrança da plataforma. Contas de nome parecido NÃO se fundem (R-003).</t>
        </is>
      </c>
      <c r="C54" s="15" t="n"/>
      <c r="D54" s="15" t="n"/>
      <c r="E54" s="12" t="inlineStr">
        <is>
          <t>id_conta</t>
        </is>
      </c>
      <c r="F54" s="15" t="n"/>
      <c r="G54" s="12" t="inlineStr">
        <is>
          <t>pré-preenchido — confirme ou corrija</t>
        </is>
      </c>
    </row>
    <row r="55" ht="34" customHeight="1">
      <c r="A55" s="12" t="inlineStr">
        <is>
          <t>PMax</t>
        </is>
      </c>
      <c r="B55" s="12" t="inlineStr">
        <is>
          <t>Campanha PERFORMANCE_MAX: não publica desempenho por anúncio nem breakdown demográfico</t>
        </is>
      </c>
      <c r="C55" s="15" t="n"/>
      <c r="D55" s="15" t="n"/>
      <c r="E55" s="12" t="inlineStr">
        <is>
          <t>canal / subcanal</t>
        </is>
      </c>
      <c r="F55" s="15" t="n"/>
      <c r="G55" s="12" t="inlineStr">
        <is>
          <t>pré-preenchido — confirme ou corrija</t>
        </is>
      </c>
    </row>
    <row r="56" ht="34" customHeight="1">
      <c r="A56" s="12" t="inlineStr">
        <is>
          <t>Grão misto</t>
        </is>
      </c>
      <c r="B56" s="12" t="inlineStr">
        <is>
          <t>Linha de anúncio somada a linha de campanha só onde não há anúncio</t>
        </is>
      </c>
      <c r="C56" s="15" t="n"/>
      <c r="D56" s="15" t="n"/>
      <c r="E56" s="12" t="inlineStr">
        <is>
          <t>grao_origem</t>
        </is>
      </c>
      <c r="F56" s="15" t="n"/>
      <c r="G56" s="12" t="inlineStr">
        <is>
          <t>pré-preenchido — confirme ou corrija</t>
        </is>
      </c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Inbound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Quantas conversões vieram de cada origem de tráfego?</t>
        </is>
      </c>
      <c r="B16" s="12" t="inlineStr">
        <is>
          <t>Onde concentrar esforço de geração</t>
        </is>
      </c>
      <c r="C16" s="12" t="inlineStr">
        <is>
          <t>Semanal</t>
        </is>
      </c>
      <c r="D16" s="13" t="n"/>
      <c r="E16" s="12" t="inlineStr">
        <is>
          <t>rfn_marketing__conversao</t>
        </is>
      </c>
      <c r="F16" s="13" t="n"/>
      <c r="G16" s="12" t="inlineStr">
        <is>
          <t>pré-preenchido — confirme ou corrija</t>
        </is>
      </c>
    </row>
    <row r="17" ht="34" customHeight="1">
      <c r="A17" s="12" t="inlineStr">
        <is>
          <t>Que parcela das conversões liga a uma campanha de Google Ads?</t>
        </is>
      </c>
      <c r="B17" s="12" t="inlineStr">
        <is>
          <t>Atribuição de investimento a resultado</t>
        </is>
      </c>
      <c r="C17" s="12" t="inlineStr">
        <is>
          <t>Mensal</t>
        </is>
      </c>
      <c r="D17" s="13" t="n"/>
      <c r="E17" s="12" t="inlineStr">
        <is>
          <t>rfn_marketing__conversao</t>
        </is>
      </c>
      <c r="F17" s="13" t="n"/>
      <c r="G17" s="12" t="inlineStr">
        <is>
          <t>pré-preenchido — confirme ou corrija</t>
        </is>
      </c>
    </row>
    <row r="18" ht="34" customHeight="1">
      <c r="A18" s="4" t="n"/>
      <c r="B18" s="4" t="n"/>
      <c r="C18" s="4" t="n"/>
      <c r="D18" s="4" t="n"/>
      <c r="E18" s="4" t="n"/>
      <c r="F18" s="15" t="n"/>
      <c r="G18" s="4" t="n"/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Conversões por origem</t>
        </is>
      </c>
      <c r="B32" s="12" t="inlineStr">
        <is>
          <t>Contar id_conversao agrupando por origem_canonica</t>
        </is>
      </c>
      <c r="C32" s="12" t="inlineStr">
        <is>
          <t>un.</t>
        </is>
      </c>
      <c r="D32" s="12" t="inlineStr">
        <is>
          <t>Cliente, canal, mês</t>
        </is>
      </c>
      <c r="E32" s="12" t="inlineStr">
        <is>
          <t>NÃO ler só utm_source: ele traz 1.400 linhas com um único valor distinto e dá a falsa impressão de que não há origem.</t>
        </is>
      </c>
      <c r="F32" s="13" t="n"/>
      <c r="G32" s="12" t="inlineStr">
        <is>
          <t>pré-preenchido — confirme ou corrija</t>
        </is>
      </c>
    </row>
    <row r="33" ht="48" customHeight="1">
      <c r="A33" s="12" t="inlineStr">
        <is>
          <t>Cobertura de funil</t>
        </is>
      </c>
      <c r="B33" s="12" t="inlineStr">
        <is>
          <t>Conversões com gad_campaignid ÷ total de conversões</t>
        </is>
      </c>
      <c r="C33" s="12" t="inlineStr">
        <is>
          <t>%</t>
        </is>
      </c>
      <c r="D33" s="12" t="inlineStr">
        <is>
          <t>Cliente</t>
        </is>
      </c>
      <c r="E33" s="12" t="inlineStr">
        <is>
          <t>Cobertura baixa (5,2%, 908 de 17.602) é o número certo, não erro. NÃO casar por nome de cliente para 'melhorar': só 8 rótulos batem e a R-003 proíbe fundir os casos 3-para-1.</t>
        </is>
      </c>
      <c r="F33" s="13" t="n"/>
      <c r="G33" s="12" t="inlineStr">
        <is>
          <t>pré-preenchido — confirme ou corrija</t>
        </is>
      </c>
    </row>
    <row r="34" ht="34" customHeight="1">
      <c r="A34" s="4" t="n"/>
      <c r="B34" s="4" t="n"/>
      <c r="C34" s="4" t="n"/>
      <c r="D34" s="4" t="n"/>
      <c r="E34" s="4" t="n"/>
      <c r="F34" s="4" t="n"/>
      <c r="G34" s="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Origem canônica</t>
        </is>
      </c>
      <c r="B53" s="12" t="inlineStr">
        <is>
          <t>Origem de tráfego já decodificada dos 5 formatos brutos</t>
        </is>
      </c>
      <c r="C53" s="15" t="n"/>
      <c r="D53" s="15" t="n"/>
      <c r="E53" s="12" t="inlineStr">
        <is>
          <t>origem_canonica</t>
        </is>
      </c>
      <c r="F53" s="15" t="n"/>
      <c r="G53" s="12" t="inlineStr">
        <is>
          <t>pré-preenchido — confirme ou corrija</t>
        </is>
      </c>
    </row>
    <row r="54" ht="34" customHeight="1">
      <c r="A54" s="12" t="inlineStr">
        <is>
          <t>Conversão</t>
        </is>
      </c>
      <c r="B54" s="12" t="inlineStr">
        <is>
          <t>Um evento de contato do RD Station</t>
        </is>
      </c>
      <c r="C54" s="15" t="n"/>
      <c r="D54" s="15" t="n"/>
      <c r="E54" s="12" t="inlineStr">
        <is>
          <t>id_conversao</t>
        </is>
      </c>
      <c r="F54" s="15" t="n"/>
      <c r="G54" s="12" t="inlineStr">
        <is>
          <t>pré-preenchido — confirme ou corrija</t>
        </is>
      </c>
    </row>
    <row r="55" ht="34" customHeight="1">
      <c r="A55" s="12" t="inlineStr">
        <is>
          <t>Canal pago</t>
        </is>
      </c>
      <c r="B55" s="12" t="inlineStr">
        <is>
          <t>Marcação booleana de origem paga</t>
        </is>
      </c>
      <c r="C55" s="15" t="n"/>
      <c r="D55" s="15" t="n"/>
      <c r="E55" s="12" t="inlineStr">
        <is>
          <t>canal_pago</t>
        </is>
      </c>
      <c r="F55" s="15" t="n"/>
      <c r="G55" s="12" t="inlineStr">
        <is>
          <t>pré-preenchido — confirme ou corrija</t>
        </is>
      </c>
    </row>
    <row r="56" ht="34" customHeight="1">
      <c r="A56" s="14" t="n"/>
      <c r="B56" s="14" t="n"/>
      <c r="C56" s="15" t="n"/>
      <c r="D56" s="15" t="n"/>
      <c r="E56" s="14" t="n"/>
      <c r="F56" s="15" t="n"/>
      <c r="G56" s="14" t="n"/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Account (Atendimento)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Qual o volume de jobs por cliente e em que etapa estão?</t>
        </is>
      </c>
      <c r="B16" s="12" t="inlineStr">
        <is>
          <t>Priorização e alerta de prazo</t>
        </is>
      </c>
      <c r="C16" s="12" t="inlineStr">
        <is>
          <t>Semanal</t>
        </is>
      </c>
      <c r="D16" s="13" t="n"/>
      <c r="E16" s="12" t="inlineStr">
        <is>
          <t>iClips — fato_atividade</t>
        </is>
      </c>
      <c r="F16" s="13" t="n"/>
      <c r="G16" s="12" t="inlineStr">
        <is>
          <t>pré-preenchido — confirme ou corrija</t>
        </is>
      </c>
    </row>
    <row r="17" ht="34" customHeight="1">
      <c r="A17" s="12" t="inlineStr">
        <is>
          <t>Qual o faturamento por cliente e o que está por faturar?</t>
        </is>
      </c>
      <c r="B17" s="12" t="inlineStr">
        <is>
          <t>Conversa comercial e cobrança</t>
        </is>
      </c>
      <c r="C17" s="12" t="inlineStr">
        <is>
          <t>Mensal</t>
        </is>
      </c>
      <c r="D17" s="13" t="n"/>
      <c r="E17" s="12" t="inlineStr">
        <is>
          <t>Conta Azul — vw_funil_faturamento</t>
        </is>
      </c>
      <c r="F17" s="13" t="n"/>
      <c r="G17" s="12" t="inlineStr">
        <is>
          <t>pré-preenchido — confirme ou corrija</t>
        </is>
      </c>
    </row>
    <row r="18" ht="34" customHeight="1">
      <c r="A18" s="4" t="n"/>
      <c r="B18" s="4" t="n"/>
      <c r="C18" s="4" t="n"/>
      <c r="D18" s="4" t="n"/>
      <c r="E18" s="4" t="n"/>
      <c r="F18" s="15" t="n"/>
      <c r="G18" s="4" t="n"/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Jobs por cliente</t>
        </is>
      </c>
      <c r="B32" s="12" t="inlineStr">
        <is>
          <t>Contar job_id distintos por client_name</t>
        </is>
      </c>
      <c r="C32" s="12" t="inlineStr">
        <is>
          <t>un.</t>
        </is>
      </c>
      <c r="D32" s="12" t="inlineStr">
        <is>
          <t>Cliente, mês</t>
        </is>
      </c>
      <c r="E32" s="12" t="inlineStr">
        <is>
          <t>NÃO usar client_name para agrupar grupo econômico — use client_group_name ou CNPJ.</t>
        </is>
      </c>
      <c r="F32" s="13" t="n"/>
      <c r="G32" s="12" t="inlineStr">
        <is>
          <t>pré-preenchido — confirme ou corrija</t>
        </is>
      </c>
    </row>
    <row r="33" ht="48" customHeight="1">
      <c r="A33" s="12" t="inlineStr">
        <is>
          <t>Valor faturado</t>
        </is>
      </c>
      <c r="B33" s="12" t="inlineStr">
        <is>
          <t>Somar valor_faturado_cliente</t>
        </is>
      </c>
      <c r="C33" s="12" t="inlineStr">
        <is>
          <t>R$</t>
        </is>
      </c>
      <c r="D33" s="12" t="inlineStr">
        <is>
          <t>Cliente, competência</t>
        </is>
      </c>
      <c r="E33" s="12" t="inlineStr">
        <is>
          <t>Para BRUTO × LÍQUIDO use tipo_faturamento (fonte autoritativa do ERP), não a inferência por CNPJ da nota.</t>
        </is>
      </c>
      <c r="F33" s="13" t="n"/>
      <c r="G33" s="12" t="inlineStr">
        <is>
          <t>pré-preenchido — confirme ou corrija</t>
        </is>
      </c>
    </row>
    <row r="34" ht="34" customHeight="1">
      <c r="A34" s="4" t="n"/>
      <c r="B34" s="4" t="n"/>
      <c r="C34" s="4" t="n"/>
      <c r="D34" s="4" t="n"/>
      <c r="E34" s="4" t="n"/>
      <c r="F34" s="4" t="n"/>
      <c r="G34" s="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PI</t>
        </is>
      </c>
      <c r="B53" s="12" t="inlineStr">
        <is>
          <t>Pedido de Inserção — o contrato de veiculação de mídia</t>
        </is>
      </c>
      <c r="C53" s="15" t="n"/>
      <c r="D53" s="15" t="n"/>
      <c r="E53" s="12" t="inlineStr">
        <is>
          <t>silver_pi_insercao.pi</t>
        </is>
      </c>
      <c r="F53" s="15" t="n"/>
      <c r="G53" s="12" t="inlineStr">
        <is>
          <t>pré-preenchido — confirme ou corrija</t>
        </is>
      </c>
    </row>
    <row r="54" ht="34" customHeight="1">
      <c r="A54" s="12" t="inlineStr">
        <is>
          <t>Job</t>
        </is>
      </c>
      <c r="B54" s="12" t="inlineStr">
        <is>
          <t>Unidade de trabalho da agência</t>
        </is>
      </c>
      <c r="C54" s="15" t="n"/>
      <c r="D54" s="15" t="n"/>
      <c r="E54" s="12" t="inlineStr">
        <is>
          <t>fato_atividade.job_id</t>
        </is>
      </c>
      <c r="F54" s="15" t="n"/>
      <c r="G54" s="12" t="inlineStr">
        <is>
          <t>pré-preenchido — confirme ou corrija</t>
        </is>
      </c>
    </row>
    <row r="55" ht="34" customHeight="1">
      <c r="A55" s="12" t="inlineStr">
        <is>
          <t>Grupo econômico</t>
        </is>
      </c>
      <c r="B55" s="12" t="inlineStr">
        <is>
          <t>Conjunto de clientes do mesmo dono, com CNPJs distintos</t>
        </is>
      </c>
      <c r="C55" s="15" t="n"/>
      <c r="D55" s="15" t="n"/>
      <c r="E55" s="12" t="inlineStr">
        <is>
          <t>client_group_name / tags_id</t>
        </is>
      </c>
      <c r="F55" s="15" t="n"/>
      <c r="G55" s="12" t="inlineStr">
        <is>
          <t>pré-preenchido — confirme ou corrija</t>
        </is>
      </c>
    </row>
    <row r="56" ht="34" customHeight="1">
      <c r="A56" s="14" t="n"/>
      <c r="B56" s="14" t="n"/>
      <c r="C56" s="15" t="n"/>
      <c r="D56" s="15" t="n"/>
      <c r="E56" s="14" t="n"/>
      <c r="F56" s="15" t="n"/>
      <c r="G56" s="14" t="n"/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Criação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Quantas peças foram entregues por etapa de workflow?</t>
        </is>
      </c>
      <c r="B16" s="12" t="inlineStr">
        <is>
          <t>Dimensionamento de equipe</t>
        </is>
      </c>
      <c r="C16" s="12" t="inlineStr">
        <is>
          <t>Semanal</t>
        </is>
      </c>
      <c r="D16" s="13" t="n"/>
      <c r="E16" s="12" t="inlineStr">
        <is>
          <t>iClips — fato_atividade</t>
        </is>
      </c>
      <c r="F16" s="13" t="n"/>
      <c r="G16" s="12" t="inlineStr">
        <is>
          <t>pré-preenchido — confirme ou corrija</t>
        </is>
      </c>
    </row>
    <row r="17" ht="34" customHeight="1">
      <c r="A17" s="12" t="inlineStr">
        <is>
          <t>Qual o índice de refação e onde ele se concentra?</t>
        </is>
      </c>
      <c r="B17" s="12" t="inlineStr">
        <is>
          <t>Ajuste de briefing e de processo</t>
        </is>
      </c>
      <c r="C17" s="12" t="inlineStr">
        <is>
          <t>Mensal</t>
        </is>
      </c>
      <c r="D17" s="13" t="n"/>
      <c r="E17" s="12" t="inlineStr">
        <is>
          <t>iClips — fato_atividade</t>
        </is>
      </c>
      <c r="F17" s="13" t="n"/>
      <c r="G17" s="12" t="inlineStr">
        <is>
          <t>pré-preenchido — confirme ou corrija</t>
        </is>
      </c>
    </row>
    <row r="18" ht="34" customHeight="1">
      <c r="A18" s="4" t="n"/>
      <c r="B18" s="4" t="n"/>
      <c r="C18" s="4" t="n"/>
      <c r="D18" s="4" t="n"/>
      <c r="E18" s="4" t="n"/>
      <c r="F18" s="15" t="n"/>
      <c r="G18" s="4" t="n"/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Peças por etapa</t>
        </is>
      </c>
      <c r="B32" s="12" t="inlineStr">
        <is>
          <t>Contar piece_id por workflow_normalizado</t>
        </is>
      </c>
      <c r="C32" s="12" t="inlineStr">
        <is>
          <t>un.</t>
        </is>
      </c>
      <c r="D32" s="12" t="inlineStr">
        <is>
          <t>Cliente, mês, responsável</t>
        </is>
      </c>
      <c r="E32" s="12" t="inlineStr">
        <is>
          <t>NÃO agrupar pela coluna workflow crua: grafias mistas fragmentaram 29.765 atividades (VAN-73). Use workflow_normalizado.</t>
        </is>
      </c>
      <c r="F32" s="13" t="n"/>
      <c r="G32" s="12" t="inlineStr">
        <is>
          <t>pré-preenchido — confirme ou corrija</t>
        </is>
      </c>
    </row>
    <row r="33" ht="48" customHeight="1">
      <c r="A33" s="12" t="inlineStr">
        <is>
          <t>Índice de refação</t>
        </is>
      </c>
      <c r="B33" s="12" t="inlineStr">
        <is>
          <t>Peças com refacao ÷ total de peças</t>
        </is>
      </c>
      <c r="C33" s="12" t="inlineStr">
        <is>
          <t>%</t>
        </is>
      </c>
      <c r="D33" s="12" t="inlineStr">
        <is>
          <t>Cliente, responsável</t>
        </is>
      </c>
      <c r="E33" s="12" t="inlineStr">
        <is>
          <t>Confirmar com a equipe o que conta como refação antes de publicar o indicador.</t>
        </is>
      </c>
      <c r="F33" s="13" t="n"/>
      <c r="G33" s="12" t="inlineStr">
        <is>
          <t>pré-preenchido — confirme ou corrija</t>
        </is>
      </c>
    </row>
    <row r="34" ht="34" customHeight="1">
      <c r="A34" s="4" t="n"/>
      <c r="B34" s="4" t="n"/>
      <c r="C34" s="4" t="n"/>
      <c r="D34" s="4" t="n"/>
      <c r="E34" s="4" t="n"/>
      <c r="F34" s="4" t="n"/>
      <c r="G34" s="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Peça</t>
        </is>
      </c>
      <c r="B53" s="12" t="inlineStr">
        <is>
          <t>Entregável individual dentro de um job</t>
        </is>
      </c>
      <c r="C53" s="15" t="n"/>
      <c r="D53" s="15" t="n"/>
      <c r="E53" s="12" t="inlineStr">
        <is>
          <t>fato_atividade.piece_id</t>
        </is>
      </c>
      <c r="F53" s="15" t="n"/>
      <c r="G53" s="12" t="inlineStr">
        <is>
          <t>pré-preenchido — confirme ou corrija</t>
        </is>
      </c>
    </row>
    <row r="54" ht="34" customHeight="1">
      <c r="A54" s="12" t="inlineStr">
        <is>
          <t>Workflow</t>
        </is>
      </c>
      <c r="B54" s="12" t="inlineStr">
        <is>
          <t>Etapa do fluxo da peça — é o nome da etapa, não do template</t>
        </is>
      </c>
      <c r="C54" s="15" t="n"/>
      <c r="D54" s="15" t="n"/>
      <c r="E54" s="12" t="inlineStr">
        <is>
          <t>workflow_normalizado</t>
        </is>
      </c>
      <c r="F54" s="15" t="n"/>
      <c r="G54" s="12" t="inlineStr">
        <is>
          <t>pré-preenchido — confirme ou corrija</t>
        </is>
      </c>
    </row>
    <row r="55" ht="34" customHeight="1">
      <c r="A55" s="12" t="inlineStr">
        <is>
          <t>Refação</t>
        </is>
      </c>
      <c r="B55" s="12" t="inlineStr">
        <is>
          <t>Retrabalho de peça já entregue</t>
        </is>
      </c>
      <c r="C55" s="15" t="n"/>
      <c r="D55" s="15" t="n"/>
      <c r="E55" s="12" t="inlineStr">
        <is>
          <t>fato_atividade.refacao</t>
        </is>
      </c>
      <c r="F55" s="15" t="n"/>
      <c r="G55" s="12" t="inlineStr">
        <is>
          <t>pré-preenchido — confirme ou corrija</t>
        </is>
      </c>
    </row>
    <row r="56" ht="34" customHeight="1">
      <c r="A56" s="14" t="n"/>
      <c r="B56" s="14" t="n"/>
      <c r="C56" s="15" t="n"/>
      <c r="D56" s="15" t="n"/>
      <c r="E56" s="14" t="n"/>
      <c r="F56" s="15" t="n"/>
      <c r="G56" s="14" t="n"/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Direção de Arte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Qual o tempo médio entre entrada e aprovação da peça?</t>
        </is>
      </c>
      <c r="B16" s="12" t="inlineStr">
        <is>
          <t>Negociação de prazo com Account</t>
        </is>
      </c>
      <c r="C16" s="12" t="inlineStr">
        <is>
          <t>Mensal</t>
        </is>
      </c>
      <c r="D16" s="13" t="n"/>
      <c r="E16" s="12" t="inlineStr">
        <is>
          <t>iClips — fato_atividade</t>
        </is>
      </c>
      <c r="F16" s="13" t="n"/>
      <c r="G16" s="12" t="inlineStr">
        <is>
          <t>pré-preenchido — confirme ou corrija</t>
        </is>
      </c>
    </row>
    <row r="17" ht="34" customHeight="1">
      <c r="A17" s="14" t="n"/>
      <c r="B17" s="14" t="n"/>
      <c r="C17" s="14" t="n"/>
      <c r="D17" s="14" t="n"/>
      <c r="E17" s="14" t="n"/>
      <c r="F17" s="15" t="n"/>
      <c r="G17" s="14" t="n"/>
    </row>
    <row r="18" ht="34" customHeight="1">
      <c r="A18" s="4" t="n"/>
      <c r="B18" s="4" t="n"/>
      <c r="C18" s="4" t="n"/>
      <c r="D18" s="4" t="n"/>
      <c r="E18" s="4" t="n"/>
      <c r="F18" s="15" t="n"/>
      <c r="G18" s="4" t="n"/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Tempo de ciclo da peça</t>
        </is>
      </c>
      <c r="B32" s="12" t="inlineStr">
        <is>
          <t>data_fim_peca_workflow menos data_inicio_peca_workflow</t>
        </is>
      </c>
      <c r="C32" s="12" t="inlineStr">
        <is>
          <t>dias</t>
        </is>
      </c>
      <c r="D32" s="12" t="inlineStr">
        <is>
          <t>Cliente, tipo de peça</t>
        </is>
      </c>
      <c r="E32" s="12" t="inlineStr">
        <is>
          <t>Conferir se estimated_time e sla_time estão preenchidos: linha sem eles não entra na média e enviesa o resultado.</t>
        </is>
      </c>
      <c r="F32" s="13" t="n"/>
      <c r="G32" s="12" t="inlineStr">
        <is>
          <t>pré-preenchido — confirme ou corrija</t>
        </is>
      </c>
    </row>
    <row r="33" ht="34" customHeight="1">
      <c r="A33" s="14" t="n"/>
      <c r="B33" s="14" t="n"/>
      <c r="C33" s="14" t="n"/>
      <c r="D33" s="14" t="n"/>
      <c r="E33" s="14" t="n"/>
      <c r="F33" s="14" t="n"/>
      <c r="G33" s="14" t="n"/>
    </row>
    <row r="34" ht="34" customHeight="1">
      <c r="A34" s="4" t="n"/>
      <c r="B34" s="4" t="n"/>
      <c r="C34" s="4" t="n"/>
      <c r="D34" s="4" t="n"/>
      <c r="E34" s="4" t="n"/>
      <c r="F34" s="4" t="n"/>
      <c r="G34" s="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Aprovação</t>
        </is>
      </c>
      <c r="B53" s="12" t="inlineStr">
        <is>
          <t>Marco em que a peça é aceita pelo cliente</t>
        </is>
      </c>
      <c r="C53" s="15" t="n"/>
      <c r="D53" s="15" t="n"/>
      <c r="E53" s="12" t="inlineStr">
        <is>
          <t>project_approval_date</t>
        </is>
      </c>
      <c r="F53" s="15" t="n"/>
      <c r="G53" s="12" t="inlineStr">
        <is>
          <t>pré-preenchido — confirme ou corrija</t>
        </is>
      </c>
    </row>
    <row r="54" ht="34" customHeight="1">
      <c r="A54" s="14" t="n"/>
      <c r="B54" s="14" t="n"/>
      <c r="C54" s="15" t="n"/>
      <c r="D54" s="15" t="n"/>
      <c r="E54" s="14" t="n"/>
      <c r="F54" s="15" t="n"/>
      <c r="G54" s="14" t="n"/>
    </row>
    <row r="55" ht="34" customHeight="1">
      <c r="A55" s="4" t="n"/>
      <c r="B55" s="4" t="n"/>
      <c r="C55" s="15" t="n"/>
      <c r="D55" s="15" t="n"/>
      <c r="E55" s="4" t="n"/>
      <c r="F55" s="15" t="n"/>
      <c r="G55" s="4" t="n"/>
    </row>
    <row r="56" ht="34" customHeight="1">
      <c r="A56" s="14" t="n"/>
      <c r="B56" s="14" t="n"/>
      <c r="C56" s="15" t="n"/>
      <c r="D56" s="15" t="n"/>
      <c r="E56" s="14" t="n"/>
      <c r="F56" s="15" t="n"/>
      <c r="G56" s="14" t="n"/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Diretoria de Operações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Quantos jobs estão abertos, por responsável e por prazo?</t>
        </is>
      </c>
      <c r="B16" s="12" t="inlineStr">
        <is>
          <t>Redistribuição de carga</t>
        </is>
      </c>
      <c r="C16" s="12" t="inlineStr">
        <is>
          <t>Semanal</t>
        </is>
      </c>
      <c r="D16" s="13" t="n"/>
      <c r="E16" s="12" t="inlineStr">
        <is>
          <t>rfn_operacao__job (VJOB)</t>
        </is>
      </c>
      <c r="F16" s="13" t="n"/>
      <c r="G16" s="12" t="inlineStr">
        <is>
          <t>pré-preenchido — confirme ou corrija</t>
        </is>
      </c>
    </row>
    <row r="17" ht="34" customHeight="1">
      <c r="A17" s="14" t="n"/>
      <c r="B17" s="14" t="n"/>
      <c r="C17" s="14" t="n"/>
      <c r="D17" s="14" t="n"/>
      <c r="E17" s="14" t="n"/>
      <c r="F17" s="15" t="n"/>
      <c r="G17" s="14" t="n"/>
    </row>
    <row r="18" ht="34" customHeight="1">
      <c r="A18" s="4" t="n"/>
      <c r="B18" s="4" t="n"/>
      <c r="C18" s="4" t="n"/>
      <c r="D18" s="4" t="n"/>
      <c r="E18" s="4" t="n"/>
      <c r="F18" s="15" t="n"/>
      <c r="G18" s="4" t="n"/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Jobs em aberto</t>
        </is>
      </c>
      <c r="B32" s="12" t="inlineStr">
        <is>
          <t>Contar jobs com status diferente de concluído</t>
        </is>
      </c>
      <c r="C32" s="12" t="inlineStr">
        <is>
          <t>un.</t>
        </is>
      </c>
      <c r="D32" s="12" t="inlineStr">
        <is>
          <t>Responsável, cliente</t>
        </is>
      </c>
      <c r="E32" s="12" t="inlineStr">
        <is>
          <t>O CONTADOR DE ATRASO DO VJOB ESTÁ FORMALMENTE CLASSIFICADO COMO INVÁLIDO pela própria casa enquanto o saneamento de prazos não conclui. NÃO usar como KPI.</t>
        </is>
      </c>
      <c r="F32" s="13" t="n"/>
      <c r="G32" s="12" t="inlineStr">
        <is>
          <t>pré-preenchido — confirme ou corrija</t>
        </is>
      </c>
    </row>
    <row r="33" ht="34" customHeight="1">
      <c r="A33" s="14" t="n"/>
      <c r="B33" s="14" t="n"/>
      <c r="C33" s="14" t="n"/>
      <c r="D33" s="14" t="n"/>
      <c r="E33" s="14" t="n"/>
      <c r="F33" s="14" t="n"/>
      <c r="G33" s="14" t="n"/>
    </row>
    <row r="34" ht="34" customHeight="1">
      <c r="A34" s="4" t="n"/>
      <c r="B34" s="4" t="n"/>
      <c r="C34" s="4" t="n"/>
      <c r="D34" s="4" t="n"/>
      <c r="E34" s="4" t="n"/>
      <c r="F34" s="4" t="n"/>
      <c r="G34" s="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Job</t>
        </is>
      </c>
      <c r="B53" s="12" t="inlineStr">
        <is>
          <t>Tarefa corporativa registrada no VJOB</t>
        </is>
      </c>
      <c r="C53" s="15" t="n"/>
      <c r="D53" s="15" t="n"/>
      <c r="E53" s="12" t="inlineStr">
        <is>
          <t>rfn_operacao__job</t>
        </is>
      </c>
      <c r="F53" s="15" t="n"/>
      <c r="G53" s="12" t="inlineStr">
        <is>
          <t>pré-preenchido — confirme ou corrija</t>
        </is>
      </c>
    </row>
    <row r="54" ht="34" customHeight="1">
      <c r="A54" s="12" t="inlineStr">
        <is>
          <t>Prazo inconsistente</t>
        </is>
      </c>
      <c r="B54" s="12" t="inlineStr">
        <is>
          <t>Tarefa com prazo anterior à própria publicação</t>
        </is>
      </c>
      <c r="C54" s="15" t="n"/>
      <c r="D54" s="15" t="n"/>
      <c r="E54" s="12" t="inlineStr">
        <is>
          <t>marca do PMO</t>
        </is>
      </c>
      <c r="F54" s="15" t="n"/>
      <c r="G54" s="12" t="inlineStr">
        <is>
          <t>pré-preenchido — confirme ou corrija</t>
        </is>
      </c>
    </row>
    <row r="55" ht="34" customHeight="1">
      <c r="A55" s="4" t="n"/>
      <c r="B55" s="4" t="n"/>
      <c r="C55" s="15" t="n"/>
      <c r="D55" s="15" t="n"/>
      <c r="E55" s="4" t="n"/>
      <c r="F55" s="15" t="n"/>
      <c r="G55" s="4" t="n"/>
    </row>
    <row r="56" ht="34" customHeight="1">
      <c r="A56" s="14" t="n"/>
      <c r="B56" s="14" t="n"/>
      <c r="C56" s="15" t="n"/>
      <c r="D56" s="15" t="n"/>
      <c r="E56" s="14" t="n"/>
      <c r="F56" s="15" t="n"/>
      <c r="G56" s="14" t="n"/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Recursos Humanos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Qual o turnover do período e onde ele se concentra?</t>
        </is>
      </c>
      <c r="B16" s="12" t="inlineStr">
        <is>
          <t>Ação de retenção por área</t>
        </is>
      </c>
      <c r="C16" s="12" t="inlineStr">
        <is>
          <t>Mensal</t>
        </is>
      </c>
      <c r="D16" s="13" t="n"/>
      <c r="E16" s="12" t="inlineStr">
        <is>
          <t>silver_colaborador_rel</t>
        </is>
      </c>
      <c r="F16" s="13" t="n"/>
      <c r="G16" s="12" t="inlineStr">
        <is>
          <t>pré-preenchido — confirme ou corrija</t>
        </is>
      </c>
    </row>
    <row r="17" ht="34" customHeight="1">
      <c r="A17" s="12" t="inlineStr">
        <is>
          <t>Qual o tempo médio de casa por área?</t>
        </is>
      </c>
      <c r="B17" s="12" t="inlineStr">
        <is>
          <t>Plano de carreira e sucessão</t>
        </is>
      </c>
      <c r="C17" s="12" t="inlineStr">
        <is>
          <t>Trimestral</t>
        </is>
      </c>
      <c r="D17" s="13" t="n"/>
      <c r="E17" s="12" t="inlineStr">
        <is>
          <t>silver_colaborador_rel</t>
        </is>
      </c>
      <c r="F17" s="13" t="n"/>
      <c r="G17" s="12" t="inlineStr">
        <is>
          <t>pré-preenchido — confirme ou corrija</t>
        </is>
      </c>
    </row>
    <row r="18" ht="34" customHeight="1">
      <c r="A18" s="4" t="n"/>
      <c r="B18" s="4" t="n"/>
      <c r="C18" s="4" t="n"/>
      <c r="D18" s="4" t="n"/>
      <c r="E18" s="4" t="n"/>
      <c r="F18" s="15" t="n"/>
      <c r="G18" s="4" t="n"/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Turnover</t>
        </is>
      </c>
      <c r="B32" s="12" t="inlineStr">
        <is>
          <t>Desligamentos no período ÷ headcount médio</t>
        </is>
      </c>
      <c r="C32" s="12" t="inlineStr">
        <is>
          <t>%</t>
        </is>
      </c>
      <c r="D32" s="12" t="inlineStr">
        <is>
          <t>Área, departamento, nível</t>
        </is>
      </c>
      <c r="E32" s="12" t="inlineStr">
        <is>
          <t>NÃO usar data_desligamento crua em série: use data_desligamento_efetiva. A crua guarda resíduo de vínculo antigo em recontratação.</t>
        </is>
      </c>
      <c r="F32" s="13" t="n"/>
      <c r="G32" s="12" t="inlineStr">
        <is>
          <t>pré-preenchido — confirme ou corrija</t>
        </is>
      </c>
    </row>
    <row r="33" ht="48" customHeight="1">
      <c r="A33" s="12" t="inlineStr">
        <is>
          <t>Headcount</t>
        </is>
      </c>
      <c r="B33" s="12" t="inlineStr">
        <is>
          <t>Contar pessoas com situacao = ATIVO</t>
        </is>
      </c>
      <c r="C33" s="12" t="inlineStr">
        <is>
          <t>un.</t>
        </is>
      </c>
      <c r="D33" s="12" t="inlineStr">
        <is>
          <t>Área, departamento</t>
        </is>
      </c>
      <c r="E33" s="12" t="inlineStr">
        <is>
          <t>Tratar ATIVO_INCONSISTENTE à parte: é cadastro a corrigir na origem, não uma categoria de pessoa.</t>
        </is>
      </c>
      <c r="F33" s="13" t="n"/>
      <c r="G33" s="12" t="inlineStr">
        <is>
          <t>pré-preenchido — confirme ou corrija</t>
        </is>
      </c>
    </row>
    <row r="34" ht="34" customHeight="1">
      <c r="A34" s="4" t="n"/>
      <c r="B34" s="4" t="n"/>
      <c r="C34" s="4" t="n"/>
      <c r="D34" s="4" t="n"/>
      <c r="E34" s="4" t="n"/>
      <c r="F34" s="4" t="n"/>
      <c r="G34" s="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Situação</t>
        </is>
      </c>
      <c r="B53" s="12" t="inlineStr">
        <is>
          <t>Estado do vínculo: ATIVO, AVISO_PREVIO, DESLIGADO ou ATIVO_INCONSISTENTE</t>
        </is>
      </c>
      <c r="C53" s="15" t="n"/>
      <c r="D53" s="15" t="n"/>
      <c r="E53" s="12" t="inlineStr">
        <is>
          <t>colaborador_rel.situacao</t>
        </is>
      </c>
      <c r="F53" s="15" t="n"/>
      <c r="G53" s="12" t="inlineStr">
        <is>
          <t>pré-preenchido — confirme ou corrija</t>
        </is>
      </c>
    </row>
    <row r="54" ht="34" customHeight="1">
      <c r="A54" s="12" t="inlineStr">
        <is>
          <t>Tempo de casa</t>
        </is>
      </c>
      <c r="B54" s="12" t="inlineStr">
        <is>
          <t>Meses entre admissão e hoje, ou até o desligamento efetivo</t>
        </is>
      </c>
      <c r="C54" s="15" t="n"/>
      <c r="D54" s="15" t="n"/>
      <c r="E54" s="12" t="inlineStr">
        <is>
          <t>tempo_casa_meses</t>
        </is>
      </c>
      <c r="F54" s="15" t="n"/>
      <c r="G54" s="12" t="inlineStr">
        <is>
          <t>pré-preenchido — confirme ou corrija</t>
        </is>
      </c>
    </row>
    <row r="55" ht="34" customHeight="1">
      <c r="A55" s="4" t="n"/>
      <c r="B55" s="4" t="n"/>
      <c r="C55" s="15" t="n"/>
      <c r="D55" s="15" t="n"/>
      <c r="E55" s="4" t="n"/>
      <c r="F55" s="15" t="n"/>
      <c r="G55" s="4" t="n"/>
    </row>
    <row r="56" ht="34" customHeight="1">
      <c r="A56" s="14" t="n"/>
      <c r="B56" s="14" t="n"/>
      <c r="C56" s="15" t="n"/>
      <c r="D56" s="15" t="n"/>
      <c r="E56" s="14" t="n"/>
      <c r="F56" s="15" t="n"/>
      <c r="G56" s="14" t="n"/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Diretoria Executiva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Qual a receita por cliente e por linha de serviço?</t>
        </is>
      </c>
      <c r="B16" s="12" t="inlineStr">
        <is>
          <t>Decisão de portfólio</t>
        </is>
      </c>
      <c r="C16" s="12" t="inlineStr">
        <is>
          <t>Mensal</t>
        </is>
      </c>
      <c r="D16" s="13" t="n"/>
      <c r="E16" s="12" t="inlineStr">
        <is>
          <t>gold_vw_fin_cliente</t>
        </is>
      </c>
      <c r="F16" s="13" t="n"/>
      <c r="G16" s="12" t="inlineStr">
        <is>
          <t>pré-preenchido — confirme ou corrija</t>
        </is>
      </c>
    </row>
    <row r="17" ht="34" customHeight="1">
      <c r="A17" s="12" t="inlineStr">
        <is>
          <t>Qual o caixa realizado contra o projetado?</t>
        </is>
      </c>
      <c r="B17" s="12" t="inlineStr">
        <is>
          <t>Decisão de investimento</t>
        </is>
      </c>
      <c r="C17" s="12" t="inlineStr">
        <is>
          <t>Mensal</t>
        </is>
      </c>
      <c r="D17" s="13" t="n"/>
      <c r="E17" s="12" t="inlineStr">
        <is>
          <t>gold_vw_fato_dfc_dia</t>
        </is>
      </c>
      <c r="F17" s="13" t="n"/>
      <c r="G17" s="12" t="inlineStr">
        <is>
          <t>pré-preenchido — confirme ou corrija</t>
        </is>
      </c>
    </row>
    <row r="18" ht="34" customHeight="1">
      <c r="A18" s="4" t="n"/>
      <c r="B18" s="4" t="n"/>
      <c r="C18" s="4" t="n"/>
      <c r="D18" s="4" t="n"/>
      <c r="E18" s="4" t="n"/>
      <c r="F18" s="15" t="n"/>
      <c r="G18" s="4" t="n"/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Receita por cliente</t>
        </is>
      </c>
      <c r="B32" s="12" t="inlineStr">
        <is>
          <t>Somar valor agrupando por cliente_key</t>
        </is>
      </c>
      <c r="C32" s="12" t="inlineStr">
        <is>
          <t>R$</t>
        </is>
      </c>
      <c r="D32" s="12" t="inlineStr">
        <is>
          <t>Cliente, grupo, linha de serviço</t>
        </is>
      </c>
      <c r="E32" s="12" t="inlineStr">
        <is>
          <t>SEMPRE separar por flag_projecao: misturar realizado com projeção produz número que não existe.</t>
        </is>
      </c>
      <c r="F32" s="13" t="n"/>
      <c r="G32" s="12" t="inlineStr">
        <is>
          <t>pré-preenchido — confirme ou corrija</t>
        </is>
      </c>
    </row>
    <row r="33" ht="48" customHeight="1">
      <c r="A33" s="12" t="inlineStr">
        <is>
          <t>MRR</t>
        </is>
      </c>
      <c r="B33" s="12" t="inlineStr">
        <is>
          <t>Somar mrr do mês</t>
        </is>
      </c>
      <c r="C33" s="12" t="inlineStr">
        <is>
          <t>R$</t>
        </is>
      </c>
      <c r="D33" s="12" t="inlineStr">
        <is>
          <t>Cliente, produto, família</t>
        </is>
      </c>
      <c r="E33" s="12" t="inlineStr">
        <is>
          <t>Distinguir tipo = plano de tipo = serviço: são chaves de produto diferentes (ORI-603).</t>
        </is>
      </c>
      <c r="F33" s="13" t="n"/>
      <c r="G33" s="12" t="inlineStr">
        <is>
          <t>pré-preenchido — confirme ou corrija</t>
        </is>
      </c>
    </row>
    <row r="34" ht="34" customHeight="1">
      <c r="A34" s="4" t="n"/>
      <c r="B34" s="4" t="n"/>
      <c r="C34" s="4" t="n"/>
      <c r="D34" s="4" t="n"/>
      <c r="E34" s="4" t="n"/>
      <c r="F34" s="4" t="n"/>
      <c r="G34" s="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Realizado × Projetado</t>
        </is>
      </c>
      <c r="B53" s="12" t="inlineStr">
        <is>
          <t>Separação obrigatória em toda leitura financeira</t>
        </is>
      </c>
      <c r="C53" s="15" t="n"/>
      <c r="D53" s="15" t="n"/>
      <c r="E53" s="12" t="inlineStr">
        <is>
          <t>flag_projecao</t>
        </is>
      </c>
      <c r="F53" s="15" t="n"/>
      <c r="G53" s="12" t="inlineStr">
        <is>
          <t>pré-preenchido — confirme ou corrija</t>
        </is>
      </c>
    </row>
    <row r="54" ht="34" customHeight="1">
      <c r="A54" s="12" t="inlineStr">
        <is>
          <t>Grupo</t>
        </is>
      </c>
      <c r="B54" s="12" t="inlineStr">
        <is>
          <t>Agrupamento econômico acima do cliente</t>
        </is>
      </c>
      <c r="C54" s="15" t="n"/>
      <c r="D54" s="15" t="n"/>
      <c r="E54" s="12" t="inlineStr">
        <is>
          <t>grupo_key / grupo_nome</t>
        </is>
      </c>
      <c r="F54" s="15" t="n"/>
      <c r="G54" s="12" t="inlineStr">
        <is>
          <t>pré-preenchido — confirme ou corrija</t>
        </is>
      </c>
    </row>
    <row r="55" ht="34" customHeight="1">
      <c r="A55" s="4" t="n"/>
      <c r="B55" s="4" t="n"/>
      <c r="C55" s="15" t="n"/>
      <c r="D55" s="15" t="n"/>
      <c r="E55" s="4" t="n"/>
      <c r="F55" s="15" t="n"/>
      <c r="G55" s="4" t="n"/>
    </row>
    <row r="56" ht="34" customHeight="1">
      <c r="A56" s="14" t="n"/>
      <c r="B56" s="14" t="n"/>
      <c r="C56" s="15" t="n"/>
      <c r="D56" s="15" t="n"/>
      <c r="E56" s="14" t="n"/>
      <c r="F56" s="15" t="n"/>
      <c r="G56" s="14" t="n"/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Social Media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Quantas peças de social foram publicadas por cliente?</t>
        </is>
      </c>
      <c r="B16" s="12" t="inlineStr">
        <is>
          <t>Cumprimento de contrato</t>
        </is>
      </c>
      <c r="C16" s="12" t="inlineStr">
        <is>
          <t>Mensal</t>
        </is>
      </c>
      <c r="D16" s="13" t="n"/>
      <c r="E16" s="12" t="inlineStr">
        <is>
          <t>iClips — fato_atividade</t>
        </is>
      </c>
      <c r="F16" s="13" t="n"/>
      <c r="G16" s="12" t="inlineStr">
        <is>
          <t>pré-preenchido — confirme ou corrija</t>
        </is>
      </c>
    </row>
    <row r="17" ht="34" customHeight="1">
      <c r="A17" s="14" t="n"/>
      <c r="B17" s="14" t="n"/>
      <c r="C17" s="14" t="n"/>
      <c r="D17" s="14" t="n"/>
      <c r="E17" s="14" t="n"/>
      <c r="F17" s="15" t="n"/>
      <c r="G17" s="14" t="n"/>
    </row>
    <row r="18" ht="34" customHeight="1">
      <c r="A18" s="4" t="n"/>
      <c r="B18" s="4" t="n"/>
      <c r="C18" s="4" t="n"/>
      <c r="D18" s="4" t="n"/>
      <c r="E18" s="4" t="n"/>
      <c r="F18" s="15" t="n"/>
      <c r="G18" s="4" t="n"/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Peças publicadas</t>
        </is>
      </c>
      <c r="B32" s="12" t="inlineStr">
        <is>
          <t>Contar peças com prefixo [SOCIAL MEDIA] no catálogo</t>
        </is>
      </c>
      <c r="C32" s="12" t="inlineStr">
        <is>
          <t>un.</t>
        </is>
      </c>
      <c r="D32" s="12" t="inlineStr">
        <is>
          <t>Cliente, mês</t>
        </is>
      </c>
      <c r="E32" s="12" t="inlineStr">
        <is>
          <t>Separar peça produzida de peça veiculada: são coisas diferentes e o dado hoje registra a produção.</t>
        </is>
      </c>
      <c r="F32" s="13" t="n"/>
      <c r="G32" s="12" t="inlineStr">
        <is>
          <t>pré-preenchido — confirme ou corrija</t>
        </is>
      </c>
    </row>
    <row r="33" ht="34" customHeight="1">
      <c r="A33" s="14" t="n"/>
      <c r="B33" s="14" t="n"/>
      <c r="C33" s="14" t="n"/>
      <c r="D33" s="14" t="n"/>
      <c r="E33" s="14" t="n"/>
      <c r="F33" s="14" t="n"/>
      <c r="G33" s="14" t="n"/>
    </row>
    <row r="34" ht="34" customHeight="1">
      <c r="A34" s="4" t="n"/>
      <c r="B34" s="4" t="n"/>
      <c r="C34" s="4" t="n"/>
      <c r="D34" s="4" t="n"/>
      <c r="E34" s="4" t="n"/>
      <c r="F34" s="4" t="n"/>
      <c r="G34" s="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Peça de social</t>
        </is>
      </c>
      <c r="B53" s="12" t="inlineStr">
        <is>
          <t>Entregável do catálogo com prefixo [SOCIAL MEDIA]</t>
        </is>
      </c>
      <c r="C53" s="15" t="n"/>
      <c r="D53" s="15" t="n"/>
      <c r="E53" s="12" t="inlineStr">
        <is>
          <t>dim_peca_canonica.prefixo</t>
        </is>
      </c>
      <c r="F53" s="15" t="n"/>
      <c r="G53" s="12" t="inlineStr">
        <is>
          <t>pré-preenchido — confirme ou corrija</t>
        </is>
      </c>
    </row>
    <row r="54" ht="34" customHeight="1">
      <c r="A54" s="14" t="n"/>
      <c r="B54" s="14" t="n"/>
      <c r="C54" s="15" t="n"/>
      <c r="D54" s="15" t="n"/>
      <c r="E54" s="14" t="n"/>
      <c r="F54" s="15" t="n"/>
      <c r="G54" s="14" t="n"/>
    </row>
    <row r="55" ht="34" customHeight="1">
      <c r="A55" s="4" t="n"/>
      <c r="B55" s="4" t="n"/>
      <c r="C55" s="15" t="n"/>
      <c r="D55" s="15" t="n"/>
      <c r="E55" s="4" t="n"/>
      <c r="F55" s="15" t="n"/>
      <c r="G55" s="4" t="n"/>
    </row>
    <row r="56" ht="34" customHeight="1">
      <c r="A56" s="14" t="n"/>
      <c r="B56" s="14" t="n"/>
      <c r="C56" s="15" t="n"/>
      <c r="D56" s="15" t="n"/>
      <c r="E56" s="14" t="n"/>
      <c r="F56" s="15" t="n"/>
      <c r="G56" s="14" t="n"/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Financeiro / Controladoria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Qual a inadimplência por cliente e por faixa de atraso?</t>
        </is>
      </c>
      <c r="B16" s="12" t="inlineStr">
        <is>
          <t>Régua de cobrança</t>
        </is>
      </c>
      <c r="C16" s="12" t="inlineStr">
        <is>
          <t>Semanal</t>
        </is>
      </c>
      <c r="D16" s="13" t="n"/>
      <c r="E16" s="12" t="inlineStr">
        <is>
          <t>vw_inad_titulos_vbot</t>
        </is>
      </c>
      <c r="F16" s="13" t="n"/>
      <c r="G16" s="12" t="inlineStr">
        <is>
          <t>pré-preenchido — confirme ou corrija</t>
        </is>
      </c>
    </row>
    <row r="17" ht="34" customHeight="1">
      <c r="A17" s="12" t="inlineStr">
        <is>
          <t>Qual o fluxo de caixa diário por conta?</t>
        </is>
      </c>
      <c r="B17" s="12" t="inlineStr">
        <is>
          <t>Programação de pagamento</t>
        </is>
      </c>
      <c r="C17" s="12" t="inlineStr">
        <is>
          <t>Diária</t>
        </is>
      </c>
      <c r="D17" s="13" t="n"/>
      <c r="E17" s="12" t="inlineStr">
        <is>
          <t>vw_fluxo_caixa_diario</t>
        </is>
      </c>
      <c r="F17" s="13" t="n"/>
      <c r="G17" s="12" t="inlineStr">
        <is>
          <t>pré-preenchido — confirme ou corrija</t>
        </is>
      </c>
    </row>
    <row r="18" ht="34" customHeight="1">
      <c r="A18" s="4" t="n"/>
      <c r="B18" s="4" t="n"/>
      <c r="C18" s="4" t="n"/>
      <c r="D18" s="4" t="n"/>
      <c r="E18" s="4" t="n"/>
      <c r="F18" s="15" t="n"/>
      <c r="G18" s="4" t="n"/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Inadimplência</t>
        </is>
      </c>
      <c r="B32" s="12" t="inlineStr">
        <is>
          <t>Somar valor_aberto de títulos vencidos</t>
        </is>
      </c>
      <c r="C32" s="12" t="inlineStr">
        <is>
          <t>R$</t>
        </is>
      </c>
      <c r="D32" s="12" t="inlineStr">
        <is>
          <t>Cliente, faixa de atraso</t>
        </is>
      </c>
      <c r="E32" s="12" t="inlineStr">
        <is>
          <t>Títulos com flag_migrado vieram do iClips em 01/06/2026 e a baixa ocorre no Conta Azul — não contar cobrança em dobro.</t>
        </is>
      </c>
      <c r="F32" s="13" t="n"/>
      <c r="G32" s="12" t="inlineStr">
        <is>
          <t>pré-preenchido — confirme ou corrija</t>
        </is>
      </c>
    </row>
    <row r="33" ht="48" customHeight="1">
      <c r="A33" s="12" t="inlineStr">
        <is>
          <t>Perda (write-off)</t>
        </is>
      </c>
      <c r="B33" s="12" t="inlineStr">
        <is>
          <t>Somar o campo perda</t>
        </is>
      </c>
      <c r="C33" s="12" t="inlineStr">
        <is>
          <t>R$</t>
        </is>
      </c>
      <c r="D33" s="12" t="inlineStr">
        <is>
          <t>Cliente, período</t>
        </is>
      </c>
      <c r="E33" s="12" t="inlineStr">
        <is>
          <t>A API devolve perda como objeto {data, valor}, não escalar — ler perda.valor, senão o total sai zerado.</t>
        </is>
      </c>
      <c r="F33" s="13" t="n"/>
      <c r="G33" s="12" t="inlineStr">
        <is>
          <t>pré-preenchido — confirme ou corrija</t>
        </is>
      </c>
    </row>
    <row r="34" ht="34" customHeight="1">
      <c r="A34" s="4" t="n"/>
      <c r="B34" s="4" t="n"/>
      <c r="C34" s="4" t="n"/>
      <c r="D34" s="4" t="n"/>
      <c r="E34" s="4" t="n"/>
      <c r="F34" s="4" t="n"/>
      <c r="G34" s="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Parcela</t>
        </is>
      </c>
      <c r="B53" s="12" t="inlineStr">
        <is>
          <t>Unidade de cobrança do evento financeiro</t>
        </is>
      </c>
      <c r="C53" s="15" t="n"/>
      <c r="D53" s="15" t="n"/>
      <c r="E53" s="12" t="inlineStr">
        <is>
          <t>ca_fato_evento_financeiro.id_parcela</t>
        </is>
      </c>
      <c r="F53" s="15" t="n"/>
      <c r="G53" s="12" t="inlineStr">
        <is>
          <t>pré-preenchido — confirme ou corrija</t>
        </is>
      </c>
    </row>
    <row r="54" ht="34" customHeight="1">
      <c r="A54" s="12" t="inlineStr">
        <is>
          <t>Baixa</t>
        </is>
      </c>
      <c r="B54" s="12" t="inlineStr">
        <is>
          <t>Registro de pagamento da parcela</t>
        </is>
      </c>
      <c r="C54" s="15" t="n"/>
      <c r="D54" s="15" t="n"/>
      <c r="E54" s="12" t="inlineStr">
        <is>
          <t>campo baixas</t>
        </is>
      </c>
      <c r="F54" s="15" t="n"/>
      <c r="G54" s="12" t="inlineStr">
        <is>
          <t>pré-preenchido — confirme ou corrija</t>
        </is>
      </c>
    </row>
    <row r="55" ht="34" customHeight="1">
      <c r="A55" s="12" t="inlineStr">
        <is>
          <t>Conciliado</t>
        </is>
      </c>
      <c r="B55" s="12" t="inlineStr">
        <is>
          <t>Parcela batida com o extrato</t>
        </is>
      </c>
      <c r="C55" s="15" t="n"/>
      <c r="D55" s="15" t="n"/>
      <c r="E55" s="12" t="inlineStr">
        <is>
          <t>conciliado</t>
        </is>
      </c>
      <c r="F55" s="15" t="n"/>
      <c r="G55" s="12" t="inlineStr">
        <is>
          <t>pré-preenchido — confirme ou corrija</t>
        </is>
      </c>
    </row>
    <row r="56" ht="34" customHeight="1">
      <c r="A56" s="14" t="n"/>
      <c r="B56" s="14" t="n"/>
      <c r="C56" s="15" t="n"/>
      <c r="D56" s="15" t="n"/>
      <c r="E56" s="14" t="n"/>
      <c r="F56" s="15" t="n"/>
      <c r="G56" s="14" t="n"/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22" customWidth="1" min="4" max="4"/>
    <col width="40" customWidth="1" min="5" max="5"/>
    <col width="22" customWidth="1" min="6" max="6"/>
    <col width="26" customWidth="1" min="7" max="7"/>
  </cols>
  <sheetData>
    <row r="1">
      <c r="A1" s="5" t="inlineStr">
        <is>
          <t>Camada Semântica — Planejamento, Estratégia e Inovação</t>
        </is>
      </c>
    </row>
    <row r="2">
      <c r="A2" s="2" t="inlineStr">
        <is>
          <t>VAN-SEM-001  |  Versão 1.0  |  Emissão 11/09/2026  |  Plataforma de Dados Nekt  |  uso interno</t>
        </is>
      </c>
    </row>
    <row r="3">
      <c r="A3" s="2" t="inlineStr">
        <is>
          <t>Objetivo: registrar o que o número significa neste setor e como lê-lo sem errar. Não é mapeamento de processo.</t>
        </is>
      </c>
    </row>
    <row r="5" ht="34" customHeight="1">
      <c r="A5" s="6" t="inlineStr">
        <is>
          <t>COMO PREENCHER: as linhas em azul-claro já vêm preenchidas com o que a plataforma de dados hoje sabe deste setor — sua tarefa é CONFIRMAR ou CORRIGIR, e acrescentar o que falta nas linhas em branco. Se discordar de uma linha pré-preenchida, sobrescreva: a sua versão vale mais que a minha.</t>
        </is>
      </c>
    </row>
    <row r="7" ht="22" customHeight="1">
      <c r="A7" s="7" t="inlineStr">
        <is>
          <t>FICHA DO SETOR</t>
        </is>
      </c>
    </row>
    <row r="8" ht="20" customHeight="1">
      <c r="A8" s="8" t="inlineStr">
        <is>
          <t>Quem responde por este preenchimento</t>
        </is>
      </c>
      <c r="B8" s="9" t="inlineStr"/>
    </row>
    <row r="9" ht="20" customHeight="1">
      <c r="A9" s="8" t="inlineStr">
        <is>
          <t>Cargo / função</t>
        </is>
      </c>
      <c r="B9" s="9" t="inlineStr"/>
    </row>
    <row r="10" ht="20" customHeight="1">
      <c r="A10" s="8" t="inlineStr">
        <is>
          <t>Sistemas que o setor usa no dia a dia</t>
        </is>
      </c>
      <c r="B10" s="9" t="inlineStr"/>
    </row>
    <row r="11" ht="20" customHeight="1">
      <c r="A11" s="8" t="inlineStr">
        <is>
          <t>Com que frequência o setor decide com dado</t>
        </is>
      </c>
      <c r="B11" s="9" t="inlineStr"/>
    </row>
    <row r="12" ht="20" customHeight="1">
      <c r="A12" s="8" t="inlineStr">
        <is>
          <t>Período que costuma olhar (ex.: mês corrente, últimos 90 dias)</t>
        </is>
      </c>
      <c r="B12" s="9" t="inlineStr"/>
    </row>
    <row r="14" ht="22" customHeight="1">
      <c r="A14" s="7" t="inlineStr">
        <is>
          <t>1. PERGUNTAS QUE O SETOR PRECISA RESPONDER COM DADO   —   define o que a camada Refined tem de servir</t>
        </is>
      </c>
    </row>
    <row r="15" ht="34" customHeight="1">
      <c r="A15" s="10" t="inlineStr">
        <is>
          <t>Pergunta</t>
        </is>
      </c>
      <c r="B15" s="10" t="inlineStr">
        <is>
          <t>Decisão que depende dela</t>
        </is>
      </c>
      <c r="C15" s="10" t="inlineStr">
        <is>
          <t>Frequência</t>
        </is>
      </c>
      <c r="D15" s="10" t="inlineStr">
        <is>
          <t>Hoje consegue responder?</t>
        </is>
      </c>
      <c r="E15" s="10" t="inlineStr">
        <is>
          <t>Onde busca hoje</t>
        </is>
      </c>
      <c r="F15" s="11" t="inlineStr"/>
      <c r="G15" s="10" t="inlineStr">
        <is>
          <t>Origem da linha</t>
        </is>
      </c>
    </row>
    <row r="16" ht="34" customHeight="1">
      <c r="A16" s="12" t="inlineStr">
        <is>
          <t>Onde o mesmo termo significa coisas diferentes entre setores?</t>
        </is>
      </c>
      <c r="B16" s="12" t="inlineStr">
        <is>
          <t>Padronização do vocabulário da casa</t>
        </is>
      </c>
      <c r="C16" s="12" t="inlineStr">
        <is>
          <t>Trimestral</t>
        </is>
      </c>
      <c r="D16" s="13" t="n"/>
      <c r="E16" s="12" t="inlineStr">
        <is>
          <t>este próprio levantamento</t>
        </is>
      </c>
      <c r="F16" s="13" t="n"/>
      <c r="G16" s="12" t="inlineStr">
        <is>
          <t>pré-preenchido — confirme ou corrija</t>
        </is>
      </c>
    </row>
    <row r="17" ht="34" customHeight="1">
      <c r="A17" s="12" t="inlineStr">
        <is>
          <t>Que perguntas de negócio nenhum setor consegue responder hoje?</t>
        </is>
      </c>
      <c r="B17" s="12" t="inlineStr">
        <is>
          <t>Priorização do roadmap de dados</t>
        </is>
      </c>
      <c r="C17" s="12" t="inlineStr">
        <is>
          <t>Trimestral</t>
        </is>
      </c>
      <c r="D17" s="13" t="n"/>
      <c r="E17" s="12" t="inlineStr">
        <is>
          <t>coluna 'Hoje consegue responder?' das outras abas</t>
        </is>
      </c>
      <c r="F17" s="13" t="n"/>
      <c r="G17" s="12" t="inlineStr">
        <is>
          <t>pré-preenchido — confirme ou corrija</t>
        </is>
      </c>
    </row>
    <row r="18" ht="34" customHeight="1">
      <c r="A18" s="4" t="n"/>
      <c r="B18" s="4" t="n"/>
      <c r="C18" s="4" t="n"/>
      <c r="D18" s="4" t="n"/>
      <c r="E18" s="4" t="n"/>
      <c r="F18" s="15" t="n"/>
      <c r="G18" s="4" t="n"/>
    </row>
    <row r="19" ht="34" customHeight="1">
      <c r="A19" s="14" t="n"/>
      <c r="B19" s="14" t="n"/>
      <c r="C19" s="14" t="n"/>
      <c r="D19" s="14" t="n"/>
      <c r="E19" s="14" t="n"/>
      <c r="F19" s="15" t="n"/>
      <c r="G19" s="14" t="n"/>
    </row>
    <row r="20" ht="34" customHeight="1">
      <c r="A20" s="4" t="n"/>
      <c r="B20" s="4" t="n"/>
      <c r="C20" s="4" t="n"/>
      <c r="D20" s="4" t="n"/>
      <c r="E20" s="4" t="n"/>
      <c r="F20" s="15" t="n"/>
      <c r="G20" s="4" t="n"/>
    </row>
    <row r="21" ht="34" customHeight="1">
      <c r="A21" s="14" t="n"/>
      <c r="B21" s="14" t="n"/>
      <c r="C21" s="14" t="n"/>
      <c r="D21" s="14" t="n"/>
      <c r="E21" s="14" t="n"/>
      <c r="F21" s="15" t="n"/>
      <c r="G21" s="14" t="n"/>
    </row>
    <row r="22" ht="34" customHeight="1">
      <c r="A22" s="4" t="n"/>
      <c r="B22" s="4" t="n"/>
      <c r="C22" s="4" t="n"/>
      <c r="D22" s="4" t="n"/>
      <c r="E22" s="4" t="n"/>
      <c r="F22" s="15" t="n"/>
      <c r="G22" s="4" t="n"/>
    </row>
    <row r="23" ht="34" customHeight="1">
      <c r="A23" s="14" t="n"/>
      <c r="B23" s="14" t="n"/>
      <c r="C23" s="14" t="n"/>
      <c r="D23" s="14" t="n"/>
      <c r="E23" s="14" t="n"/>
      <c r="F23" s="15" t="n"/>
      <c r="G23" s="14" t="n"/>
    </row>
    <row r="24" ht="34" customHeight="1">
      <c r="A24" s="4" t="n"/>
      <c r="B24" s="4" t="n"/>
      <c r="C24" s="4" t="n"/>
      <c r="D24" s="4" t="n"/>
      <c r="E24" s="4" t="n"/>
      <c r="F24" s="15" t="n"/>
      <c r="G24" s="4" t="n"/>
    </row>
    <row r="25" ht="34" customHeight="1">
      <c r="A25" s="14" t="n"/>
      <c r="B25" s="14" t="n"/>
      <c r="C25" s="14" t="n"/>
      <c r="D25" s="14" t="n"/>
      <c r="E25" s="14" t="n"/>
      <c r="F25" s="15" t="n"/>
      <c r="G25" s="14" t="n"/>
    </row>
    <row r="26" ht="34" customHeight="1">
      <c r="A26" s="4" t="n"/>
      <c r="B26" s="4" t="n"/>
      <c r="C26" s="4" t="n"/>
      <c r="D26" s="4" t="n"/>
      <c r="E26" s="4" t="n"/>
      <c r="F26" s="15" t="n"/>
      <c r="G26" s="4" t="n"/>
    </row>
    <row r="27" ht="34" customHeight="1">
      <c r="A27" s="14" t="n"/>
      <c r="B27" s="14" t="n"/>
      <c r="C27" s="14" t="n"/>
      <c r="D27" s="14" t="n"/>
      <c r="E27" s="14" t="n"/>
      <c r="F27" s="15" t="n"/>
      <c r="G27" s="14" t="n"/>
    </row>
    <row r="28" ht="34" customHeight="1">
      <c r="A28" s="4" t="n"/>
      <c r="B28" s="4" t="n"/>
      <c r="C28" s="4" t="n"/>
      <c r="D28" s="4" t="n"/>
      <c r="E28" s="4" t="n"/>
      <c r="F28" s="15" t="n"/>
      <c r="G28" s="4" t="n"/>
    </row>
    <row r="30" ht="22" customHeight="1">
      <c r="A30" s="7" t="inlineStr">
        <is>
          <t>2. INDICADORES   —   nome, cálculo e, sobretudo, o que NÃO vale fazer com ele</t>
        </is>
      </c>
    </row>
    <row r="31" ht="34" customHeight="1">
      <c r="A31" s="10" t="inlineStr">
        <is>
          <t>Indicador</t>
        </is>
      </c>
      <c r="B31" s="10" t="inlineStr">
        <is>
          <t>Como se calcula (em palavras)</t>
        </is>
      </c>
      <c r="C31" s="10" t="inlineStr">
        <is>
          <t>Unidade</t>
        </is>
      </c>
      <c r="D31" s="10" t="inlineStr">
        <is>
          <t>Recorte habitual</t>
        </is>
      </c>
      <c r="E31" s="10" t="inlineStr">
        <is>
          <t>O que NÃO vale fazer com ele</t>
        </is>
      </c>
      <c r="F31" s="10" t="inlineStr">
        <is>
          <t>Dono da definição</t>
        </is>
      </c>
      <c r="G31" s="10" t="inlineStr">
        <is>
          <t>Origem da linha</t>
        </is>
      </c>
    </row>
    <row r="32" ht="48" customHeight="1">
      <c r="A32" s="12" t="inlineStr">
        <is>
          <t>Perguntas sem resposta</t>
        </is>
      </c>
      <c r="B32" s="12" t="inlineStr">
        <is>
          <t>Contar perguntas marcadas 'Não' em todas as abas</t>
        </is>
      </c>
      <c r="C32" s="12" t="inlineStr">
        <is>
          <t>un.</t>
        </is>
      </c>
      <c r="D32" s="12" t="inlineStr">
        <is>
          <t>Setor</t>
        </is>
      </c>
      <c r="E32" s="12" t="inlineStr">
        <is>
          <t>Não é indicador de desempenho de setor — é fila de trabalho da plataforma de dados.</t>
        </is>
      </c>
      <c r="F32" s="13" t="n"/>
      <c r="G32" s="12" t="inlineStr">
        <is>
          <t>pré-preenchido — confirme ou corrija</t>
        </is>
      </c>
    </row>
    <row r="33" ht="34" customHeight="1">
      <c r="A33" s="14" t="n"/>
      <c r="B33" s="14" t="n"/>
      <c r="C33" s="14" t="n"/>
      <c r="D33" s="14" t="n"/>
      <c r="E33" s="14" t="n"/>
      <c r="F33" s="14" t="n"/>
      <c r="G33" s="14" t="n"/>
    </row>
    <row r="34" ht="34" customHeight="1">
      <c r="A34" s="4" t="n"/>
      <c r="B34" s="4" t="n"/>
      <c r="C34" s="4" t="n"/>
      <c r="D34" s="4" t="n"/>
      <c r="E34" s="4" t="n"/>
      <c r="F34" s="4" t="n"/>
      <c r="G34" s="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4" t="n"/>
      <c r="B36" s="4" t="n"/>
      <c r="C36" s="4" t="n"/>
      <c r="D36" s="4" t="n"/>
      <c r="E36" s="4" t="n"/>
      <c r="F36" s="4" t="n"/>
      <c r="G36" s="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4" t="n"/>
      <c r="B38" s="4" t="n"/>
      <c r="C38" s="4" t="n"/>
      <c r="D38" s="4" t="n"/>
      <c r="E38" s="4" t="n"/>
      <c r="F38" s="4" t="n"/>
      <c r="G38" s="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  <row r="40" ht="34" customHeight="1">
      <c r="A40" s="4" t="n"/>
      <c r="B40" s="4" t="n"/>
      <c r="C40" s="4" t="n"/>
      <c r="D40" s="4" t="n"/>
      <c r="E40" s="4" t="n"/>
      <c r="F40" s="4" t="n"/>
      <c r="G40" s="4" t="n"/>
    </row>
    <row r="41" ht="34" customHeight="1">
      <c r="A41" s="14" t="n"/>
      <c r="B41" s="14" t="n"/>
      <c r="C41" s="14" t="n"/>
      <c r="D41" s="14" t="n"/>
      <c r="E41" s="14" t="n"/>
      <c r="F41" s="14" t="n"/>
      <c r="G41" s="14" t="n"/>
    </row>
    <row r="42" ht="34" customHeight="1">
      <c r="A42" s="4" t="n"/>
      <c r="B42" s="4" t="n"/>
      <c r="C42" s="4" t="n"/>
      <c r="D42" s="4" t="n"/>
      <c r="E42" s="4" t="n"/>
      <c r="F42" s="4" t="n"/>
      <c r="G42" s="4" t="n"/>
    </row>
    <row r="43" ht="34" customHeight="1">
      <c r="A43" s="14" t="n"/>
      <c r="B43" s="14" t="n"/>
      <c r="C43" s="14" t="n"/>
      <c r="D43" s="14" t="n"/>
      <c r="E43" s="14" t="n"/>
      <c r="F43" s="14" t="n"/>
      <c r="G43" s="14" t="n"/>
    </row>
    <row r="44" ht="34" customHeight="1">
      <c r="A44" s="4" t="n"/>
      <c r="B44" s="4" t="n"/>
      <c r="C44" s="4" t="n"/>
      <c r="D44" s="4" t="n"/>
      <c r="E44" s="4" t="n"/>
      <c r="F44" s="4" t="n"/>
      <c r="G44" s="4" t="n"/>
    </row>
    <row r="45" ht="34" customHeight="1">
      <c r="A45" s="14" t="n"/>
      <c r="B45" s="14" t="n"/>
      <c r="C45" s="14" t="n"/>
      <c r="D45" s="14" t="n"/>
      <c r="E45" s="14" t="n"/>
      <c r="F45" s="14" t="n"/>
      <c r="G45" s="14" t="n"/>
    </row>
    <row r="46" ht="34" customHeight="1">
      <c r="A46" s="4" t="n"/>
      <c r="B46" s="4" t="n"/>
      <c r="C46" s="4" t="n"/>
      <c r="D46" s="4" t="n"/>
      <c r="E46" s="4" t="n"/>
      <c r="F46" s="4" t="n"/>
      <c r="G46" s="4" t="n"/>
    </row>
    <row r="47" ht="34" customHeight="1">
      <c r="A47" s="14" t="n"/>
      <c r="B47" s="14" t="n"/>
      <c r="C47" s="14" t="n"/>
      <c r="D47" s="14" t="n"/>
      <c r="E47" s="14" t="n"/>
      <c r="F47" s="14" t="n"/>
      <c r="G47" s="14" t="n"/>
    </row>
    <row r="48" ht="34" customHeight="1">
      <c r="A48" s="4" t="n"/>
      <c r="B48" s="4" t="n"/>
      <c r="C48" s="4" t="n"/>
      <c r="D48" s="4" t="n"/>
      <c r="E48" s="4" t="n"/>
      <c r="F48" s="4" t="n"/>
      <c r="G48" s="4" t="n"/>
    </row>
    <row r="49" ht="34" customHeight="1">
      <c r="A49" s="14" t="n"/>
      <c r="B49" s="14" t="n"/>
      <c r="C49" s="14" t="n"/>
      <c r="D49" s="14" t="n"/>
      <c r="E49" s="14" t="n"/>
      <c r="F49" s="14" t="n"/>
      <c r="G49" s="14" t="n"/>
    </row>
    <row r="51" ht="22" customHeight="1">
      <c r="A51" s="7" t="inlineStr">
        <is>
          <t>3. VOCABULÁRIO DO SETOR   —   o bloco mais barato e o de maior retorno</t>
        </is>
      </c>
    </row>
    <row r="52" ht="34" customHeight="1">
      <c r="A52" s="10" t="inlineStr">
        <is>
          <t>Termo</t>
        </is>
      </c>
      <c r="B52" s="10" t="inlineStr">
        <is>
          <t>O que significa NESTE setor</t>
        </is>
      </c>
      <c r="C52" s="11" t="inlineStr"/>
      <c r="D52" s="11" t="inlineStr"/>
      <c r="E52" s="10" t="inlineStr">
        <is>
          <t>Onde aparece no dado</t>
        </is>
      </c>
      <c r="F52" s="11" t="inlineStr"/>
      <c r="G52" s="10" t="inlineStr">
        <is>
          <t>Origem da linha</t>
        </is>
      </c>
    </row>
    <row r="53" ht="34" customHeight="1">
      <c r="A53" s="12" t="inlineStr">
        <is>
          <t>Camada semântica</t>
        </is>
      </c>
      <c r="B53" s="12" t="inlineStr">
        <is>
          <t>Documentação que diz o que o número significa e como lê-lo sem errar</t>
        </is>
      </c>
      <c r="C53" s="15" t="n"/>
      <c r="D53" s="15" t="n"/>
      <c r="E53" s="12" t="inlineStr">
        <is>
          <t>Nekt — documentos de contexto</t>
        </is>
      </c>
      <c r="F53" s="15" t="n"/>
      <c r="G53" s="12" t="inlineStr">
        <is>
          <t>pré-preenchido — confirme ou corrija</t>
        </is>
      </c>
    </row>
    <row r="54" ht="34" customHeight="1">
      <c r="A54" s="12" t="inlineStr">
        <is>
          <t>Refined</t>
        </is>
      </c>
      <c r="B54" s="12" t="inlineStr">
        <is>
          <t>Camada oficial de consumo, onde moram as regras de negócio</t>
        </is>
      </c>
      <c r="C54" s="15" t="n"/>
      <c r="D54" s="15" t="n"/>
      <c r="E54" s="12" t="inlineStr">
        <is>
          <t>prefixo rfn_</t>
        </is>
      </c>
      <c r="F54" s="15" t="n"/>
      <c r="G54" s="12" t="inlineStr">
        <is>
          <t>pré-preenchido — confirme ou corrija</t>
        </is>
      </c>
    </row>
    <row r="55" ht="34" customHeight="1">
      <c r="A55" s="4" t="n"/>
      <c r="B55" s="4" t="n"/>
      <c r="C55" s="15" t="n"/>
      <c r="D55" s="15" t="n"/>
      <c r="E55" s="4" t="n"/>
      <c r="F55" s="15" t="n"/>
      <c r="G55" s="4" t="n"/>
    </row>
    <row r="56" ht="34" customHeight="1">
      <c r="A56" s="14" t="n"/>
      <c r="B56" s="14" t="n"/>
      <c r="C56" s="15" t="n"/>
      <c r="D56" s="15" t="n"/>
      <c r="E56" s="14" t="n"/>
      <c r="F56" s="15" t="n"/>
      <c r="G56" s="14" t="n"/>
    </row>
    <row r="57" ht="34" customHeight="1">
      <c r="A57" s="4" t="n"/>
      <c r="B57" s="4" t="n"/>
      <c r="C57" s="15" t="n"/>
      <c r="D57" s="15" t="n"/>
      <c r="E57" s="4" t="n"/>
      <c r="F57" s="15" t="n"/>
      <c r="G57" s="4" t="n"/>
    </row>
    <row r="58" ht="34" customHeight="1">
      <c r="A58" s="14" t="n"/>
      <c r="B58" s="14" t="n"/>
      <c r="C58" s="15" t="n"/>
      <c r="D58" s="15" t="n"/>
      <c r="E58" s="14" t="n"/>
      <c r="F58" s="15" t="n"/>
      <c r="G58" s="14" t="n"/>
    </row>
    <row r="59" ht="34" customHeight="1">
      <c r="A59" s="4" t="n"/>
      <c r="B59" s="4" t="n"/>
      <c r="C59" s="15" t="n"/>
      <c r="D59" s="15" t="n"/>
      <c r="E59" s="4" t="n"/>
      <c r="F59" s="15" t="n"/>
      <c r="G59" s="4" t="n"/>
    </row>
    <row r="60" ht="34" customHeight="1">
      <c r="A60" s="14" t="n"/>
      <c r="B60" s="14" t="n"/>
      <c r="C60" s="15" t="n"/>
      <c r="D60" s="15" t="n"/>
      <c r="E60" s="14" t="n"/>
      <c r="F60" s="15" t="n"/>
      <c r="G60" s="14" t="n"/>
    </row>
    <row r="61" ht="34" customHeight="1">
      <c r="A61" s="4" t="n"/>
      <c r="B61" s="4" t="n"/>
      <c r="C61" s="15" t="n"/>
      <c r="D61" s="15" t="n"/>
      <c r="E61" s="4" t="n"/>
      <c r="F61" s="15" t="n"/>
      <c r="G61" s="4" t="n"/>
    </row>
    <row r="62" ht="34" customHeight="1">
      <c r="A62" s="14" t="n"/>
      <c r="B62" s="14" t="n"/>
      <c r="C62" s="15" t="n"/>
      <c r="D62" s="15" t="n"/>
      <c r="E62" s="14" t="n"/>
      <c r="F62" s="15" t="n"/>
      <c r="G62" s="14" t="n"/>
    </row>
    <row r="63" ht="34" customHeight="1">
      <c r="A63" s="4" t="n"/>
      <c r="B63" s="4" t="n"/>
      <c r="C63" s="15" t="n"/>
      <c r="D63" s="15" t="n"/>
      <c r="E63" s="4" t="n"/>
      <c r="F63" s="15" t="n"/>
      <c r="G63" s="4" t="n"/>
    </row>
    <row r="64" ht="34" customHeight="1">
      <c r="A64" s="14" t="n"/>
      <c r="B64" s="14" t="n"/>
      <c r="C64" s="15" t="n"/>
      <c r="D64" s="15" t="n"/>
      <c r="E64" s="14" t="n"/>
      <c r="F64" s="15" t="n"/>
      <c r="G64" s="14" t="n"/>
    </row>
    <row r="65" ht="34" customHeight="1">
      <c r="A65" s="4" t="n"/>
      <c r="B65" s="4" t="n"/>
      <c r="C65" s="15" t="n"/>
      <c r="D65" s="15" t="n"/>
      <c r="E65" s="4" t="n"/>
      <c r="F65" s="15" t="n"/>
      <c r="G65" s="4" t="n"/>
    </row>
  </sheetData>
  <mergeCells count="13">
    <mergeCell ref="A14:G14"/>
    <mergeCell ref="B10:G10"/>
    <mergeCell ref="A1:G1"/>
    <mergeCell ref="B11:G11"/>
    <mergeCell ref="A3:G3"/>
    <mergeCell ref="B9:G9"/>
    <mergeCell ref="B8:G8"/>
    <mergeCell ref="A30:G30"/>
    <mergeCell ref="A2:G2"/>
    <mergeCell ref="B12:G12"/>
    <mergeCell ref="A7:G7"/>
    <mergeCell ref="A51:G51"/>
    <mergeCell ref="A5:G5"/>
  </mergeCells>
  <dataValidations count="2">
    <dataValidation sqref="C16:C28" showDropDown="0" showInputMessage="0" showErrorMessage="0" allowBlank="1" type="list">
      <formula1>"Diária,Semanal,Quinzenal,Mensal,Trimestral,Semestral,Anual,Sob demanda"</formula1>
    </dataValidation>
    <dataValidation sqref="D16:D28" showDropDown="0" showInputMessage="0" showErrorMessage="0" allowBlank="1" type="list">
      <formula1>"Sim,Parcial,Não"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12" customWidth="1" min="5" max="5"/>
    <col width="18" customWidth="1" min="6" max="6"/>
    <col width="10" customWidth="1" min="7" max="7"/>
    <col width="22" customWidth="1" min="8" max="8"/>
  </cols>
  <sheetData>
    <row r="1">
      <c r="A1" s="5" t="inlineStr">
        <is>
          <t>Consolidado do Levantamento Semântico</t>
        </is>
      </c>
    </row>
    <row r="2">
      <c r="A2" s="2" t="inlineStr">
        <is>
          <t>VAN-SEM-001  |  Versão 1.0  |  Emissão 11/09/2026</t>
        </is>
      </c>
    </row>
    <row r="4" ht="34" customHeight="1">
      <c r="A4" s="6" t="inlineStr">
        <is>
          <t>ESTA ABA É TODA CALCULADA — não digite nada aqui. 'Situação' fica Pronto quando o setor tem a ficha completa, ao menos 2 perguntas, 3 indicadores e 3 termos. A coluna 'Sem resposta hoje' é a fila de trabalho da plataforma: são perguntas de negócio que o dado ainda não responde.</t>
        </is>
      </c>
    </row>
    <row r="6" ht="34" customHeight="1">
      <c r="A6" s="10" t="inlineStr">
        <is>
          <t>Setor</t>
        </is>
      </c>
      <c r="B6" s="10" t="inlineStr">
        <is>
          <t>Ficha (de 5)</t>
        </is>
      </c>
      <c r="C6" s="10" t="inlineStr">
        <is>
          <t>Perguntas</t>
        </is>
      </c>
      <c r="D6" s="10" t="inlineStr">
        <is>
          <t>Sem resposta hoje</t>
        </is>
      </c>
      <c r="E6" s="10" t="inlineStr">
        <is>
          <t>Indicadores</t>
        </is>
      </c>
      <c r="F6" s="10" t="inlineStr">
        <is>
          <t>Com regra de 'não vale'</t>
        </is>
      </c>
      <c r="G6" s="10" t="inlineStr">
        <is>
          <t>Termos</t>
        </is>
      </c>
      <c r="H6" s="10" t="inlineStr">
        <is>
          <t>Situação</t>
        </is>
      </c>
    </row>
    <row r="7" ht="26" customHeight="1">
      <c r="A7" s="16" t="inlineStr">
        <is>
          <t>Mídia Paga</t>
        </is>
      </c>
      <c r="B7" s="17">
        <f>COUNTIF('Mídia Paga'!$B$8:$B$12,"?*")</f>
        <v/>
      </c>
      <c r="C7" s="17">
        <f>COUNTIF('Mídia Paga'!$A$16:$A$28,"?*")</f>
        <v/>
      </c>
      <c r="D7" s="17">
        <f>COUNTIF('Mídia Paga'!$D$16:$D$28,"Não")</f>
        <v/>
      </c>
      <c r="E7" s="17">
        <f>COUNTIF('Mídia Paga'!$A$32:$A$49,"?*")</f>
        <v/>
      </c>
      <c r="F7" s="17">
        <f>COUNTIF('Mídia Paga'!$E$32:$E$49,"?*")</f>
        <v/>
      </c>
      <c r="G7" s="17">
        <f>COUNTIF('Mídia Paga'!$A$53:$A$65,"?*")</f>
        <v/>
      </c>
      <c r="H7" s="17">
        <f>IF(AND($B7=5,$C7&gt;=2,$E7&gt;=3,$G7&gt;=3),"Pronto","Falta preencher")</f>
        <v/>
      </c>
    </row>
    <row r="8" ht="26" customHeight="1">
      <c r="A8" s="16" t="inlineStr">
        <is>
          <t>Inbound</t>
        </is>
      </c>
      <c r="B8" s="17">
        <f>COUNTIF('Inbound'!$B$8:$B$12,"?*")</f>
        <v/>
      </c>
      <c r="C8" s="17">
        <f>COUNTIF('Inbound'!$A$16:$A$28,"?*")</f>
        <v/>
      </c>
      <c r="D8" s="17">
        <f>COUNTIF('Inbound'!$D$16:$D$28,"Não")</f>
        <v/>
      </c>
      <c r="E8" s="17">
        <f>COUNTIF('Inbound'!$A$32:$A$49,"?*")</f>
        <v/>
      </c>
      <c r="F8" s="17">
        <f>COUNTIF('Inbound'!$E$32:$E$49,"?*")</f>
        <v/>
      </c>
      <c r="G8" s="17">
        <f>COUNTIF('Inbound'!$A$53:$A$65,"?*")</f>
        <v/>
      </c>
      <c r="H8" s="17">
        <f>IF(AND($B8=5,$C8&gt;=2,$E8&gt;=3,$G8&gt;=3),"Pronto","Falta preencher")</f>
        <v/>
      </c>
    </row>
    <row r="9" ht="26" customHeight="1">
      <c r="A9" s="16" t="inlineStr">
        <is>
          <t>Account (Atendimento)</t>
        </is>
      </c>
      <c r="B9" s="17">
        <f>COUNTIF('Account'!$B$8:$B$12,"?*")</f>
        <v/>
      </c>
      <c r="C9" s="17">
        <f>COUNTIF('Account'!$A$16:$A$28,"?*")</f>
        <v/>
      </c>
      <c r="D9" s="17">
        <f>COUNTIF('Account'!$D$16:$D$28,"Não")</f>
        <v/>
      </c>
      <c r="E9" s="17">
        <f>COUNTIF('Account'!$A$32:$A$49,"?*")</f>
        <v/>
      </c>
      <c r="F9" s="17">
        <f>COUNTIF('Account'!$E$32:$E$49,"?*")</f>
        <v/>
      </c>
      <c r="G9" s="17">
        <f>COUNTIF('Account'!$A$53:$A$65,"?*")</f>
        <v/>
      </c>
      <c r="H9" s="17">
        <f>IF(AND($B9=5,$C9&gt;=2,$E9&gt;=3,$G9&gt;=3),"Pronto","Falta preencher")</f>
        <v/>
      </c>
    </row>
    <row r="10" ht="26" customHeight="1">
      <c r="A10" s="16" t="inlineStr">
        <is>
          <t>Criação</t>
        </is>
      </c>
      <c r="B10" s="17">
        <f>COUNTIF('Criação'!$B$8:$B$12,"?*")</f>
        <v/>
      </c>
      <c r="C10" s="17">
        <f>COUNTIF('Criação'!$A$16:$A$28,"?*")</f>
        <v/>
      </c>
      <c r="D10" s="17">
        <f>COUNTIF('Criação'!$D$16:$D$28,"Não")</f>
        <v/>
      </c>
      <c r="E10" s="17">
        <f>COUNTIF('Criação'!$A$32:$A$49,"?*")</f>
        <v/>
      </c>
      <c r="F10" s="17">
        <f>COUNTIF('Criação'!$E$32:$E$49,"?*")</f>
        <v/>
      </c>
      <c r="G10" s="17">
        <f>COUNTIF('Criação'!$A$53:$A$65,"?*")</f>
        <v/>
      </c>
      <c r="H10" s="17">
        <f>IF(AND($B10=5,$C10&gt;=2,$E10&gt;=3,$G10&gt;=3),"Pronto","Falta preencher")</f>
        <v/>
      </c>
    </row>
    <row r="11" ht="26" customHeight="1">
      <c r="A11" s="16" t="inlineStr">
        <is>
          <t>Direção de Arte</t>
        </is>
      </c>
      <c r="B11" s="17">
        <f>COUNTIF('Direção de Arte'!$B$8:$B$12,"?*")</f>
        <v/>
      </c>
      <c r="C11" s="17">
        <f>COUNTIF('Direção de Arte'!$A$16:$A$28,"?*")</f>
        <v/>
      </c>
      <c r="D11" s="17">
        <f>COUNTIF('Direção de Arte'!$D$16:$D$28,"Não")</f>
        <v/>
      </c>
      <c r="E11" s="17">
        <f>COUNTIF('Direção de Arte'!$A$32:$A$49,"?*")</f>
        <v/>
      </c>
      <c r="F11" s="17">
        <f>COUNTIF('Direção de Arte'!$E$32:$E$49,"?*")</f>
        <v/>
      </c>
      <c r="G11" s="17">
        <f>COUNTIF('Direção de Arte'!$A$53:$A$65,"?*")</f>
        <v/>
      </c>
      <c r="H11" s="17">
        <f>IF(AND($B11=5,$C11&gt;=2,$E11&gt;=3,$G11&gt;=3),"Pronto","Falta preencher")</f>
        <v/>
      </c>
    </row>
    <row r="12" ht="26" customHeight="1">
      <c r="A12" s="16" t="inlineStr">
        <is>
          <t>Diretoria de Operações</t>
        </is>
      </c>
      <c r="B12" s="17">
        <f>COUNTIF('Dir. Operações'!$B$8:$B$12,"?*")</f>
        <v/>
      </c>
      <c r="C12" s="17">
        <f>COUNTIF('Dir. Operações'!$A$16:$A$28,"?*")</f>
        <v/>
      </c>
      <c r="D12" s="17">
        <f>COUNTIF('Dir. Operações'!$D$16:$D$28,"Não")</f>
        <v/>
      </c>
      <c r="E12" s="17">
        <f>COUNTIF('Dir. Operações'!$A$32:$A$49,"?*")</f>
        <v/>
      </c>
      <c r="F12" s="17">
        <f>COUNTIF('Dir. Operações'!$E$32:$E$49,"?*")</f>
        <v/>
      </c>
      <c r="G12" s="17">
        <f>COUNTIF('Dir. Operações'!$A$53:$A$65,"?*")</f>
        <v/>
      </c>
      <c r="H12" s="17">
        <f>IF(AND($B12=5,$C12&gt;=2,$E12&gt;=3,$G12&gt;=3),"Pronto","Falta preencher")</f>
        <v/>
      </c>
    </row>
    <row r="13" ht="26" customHeight="1">
      <c r="A13" s="16" t="inlineStr">
        <is>
          <t>Recursos Humanos</t>
        </is>
      </c>
      <c r="B13" s="17">
        <f>COUNTIF('RH'!$B$8:$B$12,"?*")</f>
        <v/>
      </c>
      <c r="C13" s="17">
        <f>COUNTIF('RH'!$A$16:$A$28,"?*")</f>
        <v/>
      </c>
      <c r="D13" s="17">
        <f>COUNTIF('RH'!$D$16:$D$28,"Não")</f>
        <v/>
      </c>
      <c r="E13" s="17">
        <f>COUNTIF('RH'!$A$32:$A$49,"?*")</f>
        <v/>
      </c>
      <c r="F13" s="17">
        <f>COUNTIF('RH'!$E$32:$E$49,"?*")</f>
        <v/>
      </c>
      <c r="G13" s="17">
        <f>COUNTIF('RH'!$A$53:$A$65,"?*")</f>
        <v/>
      </c>
      <c r="H13" s="17">
        <f>IF(AND($B13=5,$C13&gt;=2,$E13&gt;=3,$G13&gt;=3),"Pronto","Falta preencher")</f>
        <v/>
      </c>
    </row>
    <row r="14" ht="26" customHeight="1">
      <c r="A14" s="16" t="inlineStr">
        <is>
          <t>Diretoria Executiva</t>
        </is>
      </c>
      <c r="B14" s="17">
        <f>COUNTIF('Dir. Executiva'!$B$8:$B$12,"?*")</f>
        <v/>
      </c>
      <c r="C14" s="17">
        <f>COUNTIF('Dir. Executiva'!$A$16:$A$28,"?*")</f>
        <v/>
      </c>
      <c r="D14" s="17">
        <f>COUNTIF('Dir. Executiva'!$D$16:$D$28,"Não")</f>
        <v/>
      </c>
      <c r="E14" s="17">
        <f>COUNTIF('Dir. Executiva'!$A$32:$A$49,"?*")</f>
        <v/>
      </c>
      <c r="F14" s="17">
        <f>COUNTIF('Dir. Executiva'!$E$32:$E$49,"?*")</f>
        <v/>
      </c>
      <c r="G14" s="17">
        <f>COUNTIF('Dir. Executiva'!$A$53:$A$65,"?*")</f>
        <v/>
      </c>
      <c r="H14" s="17">
        <f>IF(AND($B14=5,$C14&gt;=2,$E14&gt;=3,$G14&gt;=3),"Pronto","Falta preencher")</f>
        <v/>
      </c>
    </row>
    <row r="15" ht="26" customHeight="1">
      <c r="A15" s="16" t="inlineStr">
        <is>
          <t>Social Media</t>
        </is>
      </c>
      <c r="B15" s="17">
        <f>COUNTIF('Social Media'!$B$8:$B$12,"?*")</f>
        <v/>
      </c>
      <c r="C15" s="17">
        <f>COUNTIF('Social Media'!$A$16:$A$28,"?*")</f>
        <v/>
      </c>
      <c r="D15" s="17">
        <f>COUNTIF('Social Media'!$D$16:$D$28,"Não")</f>
        <v/>
      </c>
      <c r="E15" s="17">
        <f>COUNTIF('Social Media'!$A$32:$A$49,"?*")</f>
        <v/>
      </c>
      <c r="F15" s="17">
        <f>COUNTIF('Social Media'!$E$32:$E$49,"?*")</f>
        <v/>
      </c>
      <c r="G15" s="17">
        <f>COUNTIF('Social Media'!$A$53:$A$65,"?*")</f>
        <v/>
      </c>
      <c r="H15" s="17">
        <f>IF(AND($B15=5,$C15&gt;=2,$E15&gt;=3,$G15&gt;=3),"Pronto","Falta preencher")</f>
        <v/>
      </c>
    </row>
    <row r="16" ht="26" customHeight="1">
      <c r="A16" s="16" t="inlineStr">
        <is>
          <t>Financeiro / Controladoria</t>
        </is>
      </c>
      <c r="B16" s="17">
        <f>COUNTIF('Financeiro'!$B$8:$B$12,"?*")</f>
        <v/>
      </c>
      <c r="C16" s="17">
        <f>COUNTIF('Financeiro'!$A$16:$A$28,"?*")</f>
        <v/>
      </c>
      <c r="D16" s="17">
        <f>COUNTIF('Financeiro'!$D$16:$D$28,"Não")</f>
        <v/>
      </c>
      <c r="E16" s="17">
        <f>COUNTIF('Financeiro'!$A$32:$A$49,"?*")</f>
        <v/>
      </c>
      <c r="F16" s="17">
        <f>COUNTIF('Financeiro'!$E$32:$E$49,"?*")</f>
        <v/>
      </c>
      <c r="G16" s="17">
        <f>COUNTIF('Financeiro'!$A$53:$A$65,"?*")</f>
        <v/>
      </c>
      <c r="H16" s="17">
        <f>IF(AND($B16=5,$C16&gt;=2,$E16&gt;=3,$G16&gt;=3),"Pronto","Falta preencher")</f>
        <v/>
      </c>
    </row>
    <row r="17" ht="26" customHeight="1">
      <c r="A17" s="16" t="inlineStr">
        <is>
          <t>Planejamento, Estratégia e Inovação</t>
        </is>
      </c>
      <c r="B17" s="17">
        <f>COUNTIF('Planej. Estrat. e Inovação'!$B$8:$B$12,"?*")</f>
        <v/>
      </c>
      <c r="C17" s="17">
        <f>COUNTIF('Planej. Estrat. e Inovação'!$A$16:$A$28,"?*")</f>
        <v/>
      </c>
      <c r="D17" s="17">
        <f>COUNTIF('Planej. Estrat. e Inovação'!$D$16:$D$28,"Não")</f>
        <v/>
      </c>
      <c r="E17" s="17">
        <f>COUNTIF('Planej. Estrat. e Inovação'!$A$32:$A$49,"?*")</f>
        <v/>
      </c>
      <c r="F17" s="17">
        <f>COUNTIF('Planej. Estrat. e Inovação'!$E$32:$E$49,"?*")</f>
        <v/>
      </c>
      <c r="G17" s="17">
        <f>COUNTIF('Planej. Estrat. e Inovação'!$A$53:$A$65,"?*")</f>
        <v/>
      </c>
      <c r="H17" s="17">
        <f>IF(AND($B17=5,$C17&gt;=2,$E17&gt;=3,$G17&gt;=3),"Pronto","Falta preencher")</f>
        <v/>
      </c>
    </row>
    <row r="18">
      <c r="A18" s="18" t="inlineStr">
        <is>
          <t>TOTAL</t>
        </is>
      </c>
      <c r="B18" s="19">
        <f>SUM(B7:B17)</f>
        <v/>
      </c>
      <c r="C18" s="19">
        <f>SUM(C7:C17)</f>
        <v/>
      </c>
      <c r="D18" s="19">
        <f>SUM(D7:D17)</f>
        <v/>
      </c>
      <c r="E18" s="19">
        <f>SUM(E7:E17)</f>
        <v/>
      </c>
      <c r="F18" s="19">
        <f>SUM(F7:F17)</f>
        <v/>
      </c>
      <c r="G18" s="19">
        <f>SUM(G7:G17)</f>
        <v/>
      </c>
      <c r="H18" s="19">
        <f>COUNTIF($H$7:$H17,"Pronto")&amp;" de 11 setores"</f>
        <v/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2026-09-11T16:01:04Z</dcterms:created>
  <dcterms:modified xsi:type="dcterms:W3CDTF">2026-09-11T16:01:04Z</dcterms:modified>
</cp:coreProperties>
</file>